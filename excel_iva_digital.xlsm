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00" windowWidth="20115" windowHeight="6540" activeTab="1"/>
  </bookViews>
  <sheets>
    <sheet name="Principal" sheetId="7" r:id="rId1"/>
    <sheet name="Compras" sheetId="1" r:id="rId2"/>
    <sheet name="Ventas" sheetId="9" r:id="rId3"/>
    <sheet name="Tabla Comprobantes" sheetId="5" r:id="rId4"/>
  </sheets>
  <functionGroups builtInGroupCount="17"/>
  <calcPr calcId="144525"/>
</workbook>
</file>

<file path=xl/calcChain.xml><?xml version="1.0" encoding="utf-8"?>
<calcChain xmlns="http://schemas.openxmlformats.org/spreadsheetml/2006/main">
  <c r="AL2" i="9" l="1"/>
  <c r="AK2" i="9" l="1"/>
  <c r="AK3" i="9" l="1"/>
  <c r="AH3" i="9"/>
  <c r="AC3" i="9"/>
  <c r="AA3" i="9"/>
  <c r="Y3" i="9"/>
  <c r="W3" i="9"/>
  <c r="U3" i="9"/>
  <c r="P3" i="9"/>
  <c r="N3" i="9"/>
  <c r="L3" i="9"/>
  <c r="J3" i="9"/>
  <c r="T3" i="9"/>
  <c r="O3" i="9"/>
  <c r="M3" i="9"/>
  <c r="K3" i="9"/>
  <c r="I3" i="9"/>
  <c r="AL2" i="1" l="1"/>
  <c r="AC3" i="1" s="1"/>
  <c r="I3" i="1"/>
  <c r="K3" i="1" l="1"/>
  <c r="M3" i="1"/>
  <c r="O3" i="1"/>
  <c r="T3" i="1"/>
  <c r="AI3" i="1"/>
  <c r="J3" i="1"/>
  <c r="L3" i="1"/>
  <c r="N3" i="1"/>
  <c r="P3" i="1"/>
  <c r="U3" i="1"/>
  <c r="W3" i="1"/>
  <c r="Y3" i="1"/>
  <c r="AA3" i="1"/>
  <c r="S2" i="9" l="1"/>
  <c r="S2" i="1"/>
  <c r="AD2" i="9"/>
  <c r="AD3" i="9" s="1"/>
  <c r="AB2" i="9"/>
  <c r="AB3" i="9" s="1"/>
  <c r="Z2" i="9"/>
  <c r="Z3" i="9" s="1"/>
  <c r="X2" i="9"/>
  <c r="X3" i="9" s="1"/>
  <c r="V2" i="9"/>
  <c r="V3" i="9" s="1"/>
  <c r="AE2" i="9"/>
  <c r="AE3" i="9" s="1"/>
  <c r="AF2" i="9" l="1"/>
  <c r="AJ2" i="9" s="1"/>
  <c r="AJ3" i="9" s="1"/>
  <c r="AG2" i="9" l="1"/>
  <c r="AF3" i="9"/>
  <c r="B174" i="1"/>
  <c r="C174" i="1" s="1"/>
  <c r="D174" i="1" s="1"/>
  <c r="E174" i="1" s="1"/>
  <c r="F174" i="1" s="1"/>
  <c r="G174" i="1" s="1"/>
  <c r="H174" i="1" s="1"/>
  <c r="I174" i="1" s="1"/>
  <c r="J174" i="1" s="1"/>
  <c r="K174" i="1" s="1"/>
  <c r="L174" i="1" s="1"/>
  <c r="M174" i="1" s="1"/>
  <c r="N174" i="1" s="1"/>
  <c r="O174" i="1" s="1"/>
  <c r="P174" i="1" s="1"/>
  <c r="Q174" i="1" s="1"/>
  <c r="R174" i="1" s="1"/>
  <c r="S174" i="1" s="1"/>
  <c r="T174" i="1" s="1"/>
  <c r="U174" i="1" s="1"/>
  <c r="V174" i="1" s="1"/>
  <c r="W174" i="1" s="1"/>
  <c r="X174" i="1" s="1"/>
  <c r="Y174" i="1" s="1"/>
  <c r="Z174" i="1" s="1"/>
  <c r="AA174" i="1" s="1"/>
  <c r="AB174" i="1" s="1"/>
  <c r="AC174" i="1" s="1"/>
  <c r="AD174" i="1" s="1"/>
  <c r="AE174" i="1" s="1"/>
  <c r="AF174" i="1" s="1"/>
  <c r="AG174" i="1" s="1"/>
  <c r="AH174" i="1" s="1"/>
  <c r="AI174" i="1" s="1"/>
  <c r="AJ174" i="1" s="1"/>
  <c r="AK174" i="1" s="1"/>
  <c r="AF2" i="1" l="1"/>
  <c r="AF3" i="1" s="1"/>
  <c r="AK2" i="1" l="1"/>
  <c r="AK3" i="1" s="1"/>
  <c r="AD2" i="1"/>
  <c r="AD3" i="1" s="1"/>
  <c r="AB2" i="1"/>
  <c r="AB3" i="1" s="1"/>
  <c r="Z2" i="1"/>
  <c r="Z3" i="1" s="1"/>
  <c r="X2" i="1"/>
  <c r="X3" i="1" s="1"/>
  <c r="V2" i="1"/>
  <c r="V3" i="1" s="1"/>
  <c r="AE2" i="1" l="1"/>
  <c r="AG2" i="1"/>
  <c r="AG3" i="1" s="1"/>
  <c r="AH2" i="1"/>
  <c r="AH3" i="1" s="1"/>
  <c r="AJ2" i="1" l="1"/>
  <c r="AJ3" i="1" s="1"/>
</calcChain>
</file>

<file path=xl/sharedStrings.xml><?xml version="1.0" encoding="utf-8"?>
<sst xmlns="http://schemas.openxmlformats.org/spreadsheetml/2006/main" count="387" uniqueCount="277">
  <si>
    <t>Fecha del
Comprobante
o de la
Oficialización</t>
  </si>
  <si>
    <t>Punto
de
Venta</t>
  </si>
  <si>
    <t>Número
de 
Comprobante</t>
  </si>
  <si>
    <t>Número
de Despacho
de Importación</t>
  </si>
  <si>
    <t>Código de
Documento
del
Vendedor</t>
  </si>
  <si>
    <t>Número de
Identificación
del Vendedor</t>
  </si>
  <si>
    <t>Apellido y Nombre o
Denominación
del Vendedor</t>
  </si>
  <si>
    <t>Importe Total
de la
Operación</t>
  </si>
  <si>
    <t>Conceptos
que no
Integran el
Precio Neto
Gravado</t>
  </si>
  <si>
    <t>Importe de
Operaciones
Exentas</t>
  </si>
  <si>
    <t>Percepciones
o Pagos a
Cuenta del
IVA</t>
  </si>
  <si>
    <t>Percepciones
o Pagos a
Cuenta de
Otros Imp.
Nacionales</t>
  </si>
  <si>
    <t>Percepciones
de Ingresos
Brutos</t>
  </si>
  <si>
    <t>Percepciones
de Imp.
Municipales</t>
  </si>
  <si>
    <t>Impuestos
Internos</t>
  </si>
  <si>
    <t>Código de
Moneda</t>
  </si>
  <si>
    <t>Tipo de
Cambio</t>
  </si>
  <si>
    <t>Cantidad 
de 
Alícuotas 
de IVA</t>
  </si>
  <si>
    <t>Código 
de 
Operación</t>
  </si>
  <si>
    <t>Crédito
Fiscal
Computable</t>
  </si>
  <si>
    <t>Otros
Tributos</t>
  </si>
  <si>
    <t>PES</t>
  </si>
  <si>
    <t>Codigo</t>
  </si>
  <si>
    <t>Descripcion</t>
  </si>
  <si>
    <t>Resta</t>
  </si>
  <si>
    <t>LIQUIDACION DE SERVICIOS PUBLICOS CLASE A</t>
  </si>
  <si>
    <t>LIQUIDACION DE SERVICIOS PUBLICOS CLASE B</t>
  </si>
  <si>
    <t>FACTURAS A</t>
  </si>
  <si>
    <t>NOTAS DE DEBITO A</t>
  </si>
  <si>
    <t>NOTAS DE CREDITO A</t>
  </si>
  <si>
    <t>RECIBOS A</t>
  </si>
  <si>
    <t>NOTAS DE VENTA AL CONTADO A</t>
  </si>
  <si>
    <t>FACTURAS B</t>
  </si>
  <si>
    <t>NOTAS DE DEBITO B</t>
  </si>
  <si>
    <t>NOTAS DE CREDITO B</t>
  </si>
  <si>
    <t>RECIBOS B</t>
  </si>
  <si>
    <t>NOTAS DE VENTA AL CONTADO B</t>
  </si>
  <si>
    <t>FACTURAS C</t>
  </si>
  <si>
    <t>NOTAS DE DEBITO C</t>
  </si>
  <si>
    <t>NOTAS DE CREDITO C</t>
  </si>
  <si>
    <t>RECIBOS C</t>
  </si>
  <si>
    <t>NOTAS DE VENTA AL CONTADO C</t>
  </si>
  <si>
    <t>FACTURAS DE EXPORTACION</t>
  </si>
  <si>
    <t>NOTAS DE DEBITO POR OPERACIONES CON EL EXTERIOR</t>
  </si>
  <si>
    <t>NOTAS DE CREDITO POR OPERACIONES CON EL EXTERIOR</t>
  </si>
  <si>
    <t>FACTURAS - PERMISO EXPORTACION SIMPLIFICADO - DTO. 855/97</t>
  </si>
  <si>
    <t>LIQUIDACION UNICA COMERCIAL IMPOSITIVA CLASE A</t>
  </si>
  <si>
    <t>LIQUIDACION UNICA COMERCIAL IMPOSITIVA CLASE B</t>
  </si>
  <si>
    <t>COMPROBANTES DE COMPRA DE BIENES USADOS</t>
  </si>
  <si>
    <t>COMPROBANTES PARA RECICLAR MATERIALES</t>
  </si>
  <si>
    <t>LIQUIDACION PRIMARIA DE GRANOS</t>
  </si>
  <si>
    <t>COMPROBANTES C DEL Anexo I, Apartado A, INC.F), R.G. N° 1415</t>
  </si>
  <si>
    <t>NOTAS DE DEBITO O DOCUMENTO EQUIVALENTE QUE CUMPLAN CON LA R.G. N° 1415</t>
  </si>
  <si>
    <t>NOTAS DE CREDITO O DOCUMENTO EQUIVALENTE QUE CUMPLAN CON LA R.G. N° 1415</t>
  </si>
  <si>
    <t>OTROS COMPROBANTES A QUE CUMPLEN CON LA R G  1415</t>
  </si>
  <si>
    <t>NOTA DE CREDITO LIQUIDACION UNICA COMERCIAL IMPOSITIVA CLASE B</t>
  </si>
  <si>
    <t>NOTA DE DEBITO LIQUIDACION UNICA COMERCIAL IMPOSITIVA CLASE A</t>
  </si>
  <si>
    <t>NOTA DE DEBITO LIQUIDACION UNICA COMERCIAL IMPOSITIVA CLASE B</t>
  </si>
  <si>
    <t>NOTA DE CREDITO LIQUIDACION UNICA COMERCIAL IMPOSITIVA CLASE A</t>
  </si>
  <si>
    <t>COMPROBANTES DE COMPRA DE BIENES NO REGISTRABLES A CONSUMIDORES FINALES</t>
  </si>
  <si>
    <t>FACTURAS M</t>
  </si>
  <si>
    <t>NOTAS DE DEBITO M</t>
  </si>
  <si>
    <t>NOTAS DE CREDITO M</t>
  </si>
  <si>
    <t>RECIBOS M</t>
  </si>
  <si>
    <t>NOTAS DE VENTA AL CONTADO M</t>
  </si>
  <si>
    <t>CUENTAS DE VENTA Y LIQUIDO PRODUCTO M</t>
  </si>
  <si>
    <t>LIQUIDACIONES M</t>
  </si>
  <si>
    <t>CUENTAS DE VENTA Y LIQUIDO PRODUCTO A</t>
  </si>
  <si>
    <t>CUENTAS DE VENTA Y LIQUIDO PRODUCTO B</t>
  </si>
  <si>
    <t>LIQUIDACIONES A</t>
  </si>
  <si>
    <t>LIQUIDACIONES B</t>
  </si>
  <si>
    <t>DESPACHO DE IMPORTACION</t>
  </si>
  <si>
    <t>RECIBOS FACTURA DE CREDITO</t>
  </si>
  <si>
    <t>TIQUE</t>
  </si>
  <si>
    <t>TIQUE FACTURA C</t>
  </si>
  <si>
    <t>TIQUE NOTA DE CREDITO B</t>
  </si>
  <si>
    <t>TIQUE NOTA DE CREDITO C</t>
  </si>
  <si>
    <t>TIQUE NOTA DE DEBITO A</t>
  </si>
  <si>
    <t>TIQUE NOTA DE DEBITO B</t>
  </si>
  <si>
    <t>TIQUE NOTA DE DEBITO C</t>
  </si>
  <si>
    <t>TIQUE FACTURA M</t>
  </si>
  <si>
    <t>TIQUE NOTA DE CREDITO M</t>
  </si>
  <si>
    <t>TIQUE NOTA DE DEBITO M</t>
  </si>
  <si>
    <t>LIQUIDACION SECUNDARIA DE GRANOS</t>
  </si>
  <si>
    <t>X</t>
  </si>
  <si>
    <t>CPTES "A" DE COMPRA PRIMARIA PARA EL SECTOR PESQUERO MARITIMO</t>
  </si>
  <si>
    <t>CPTES "A" DE COSIGNACION PRIMARIA PARA EL SECTOR PESQUERO MARITIMO</t>
  </si>
  <si>
    <t>CPTES "B" DE COMPRA PRIMARIA PARA EL SECTOR PESQUERO MARITIMO</t>
  </si>
  <si>
    <t>CPTES "B" DE CONSIGNACION PRIMARIA PARA EL SECTOR PESQUERO MARITIMO</t>
  </si>
  <si>
    <t>COMPROBANTES A DEL APARTADO A  INCISO F  R G  N  1415</t>
  </si>
  <si>
    <t>COMPROBANTES B DEL ANEXO I, APARTADO A, INC. F), RG N° 1415</t>
  </si>
  <si>
    <t>OTROS COMPROBANTES B QUE CUMPLAN CON LA R.G. 1415</t>
  </si>
  <si>
    <t>OTROS COMPROBANTES C QUE CUMPLAN CON LA R.G. 1415</t>
  </si>
  <si>
    <t>RECIBO FACTURA A  REGIMEN DE FACTURA DE CREDITO</t>
  </si>
  <si>
    <t>COMPROBANTES M DEL ANEXO I  APARTADO A  INC F   R G  N  1415</t>
  </si>
  <si>
    <t>OTROS COMPROBANTES M QUE CUMPLAN CON LA R G  N  1415</t>
  </si>
  <si>
    <t>TIQUE FACTURA A   CONTROLADORES FISCALES</t>
  </si>
  <si>
    <t>TIQUE - FACTURA B</t>
  </si>
  <si>
    <t>NOTA DE CREDITO OTROS COMP  QUE NO CUMPLEN CON LA R G  1415 Y SUS MODIF</t>
  </si>
  <si>
    <t>OTROS COMP  QUE NO CUMPLEN CON LA R G  1415 Y SUS MODIF</t>
  </si>
  <si>
    <t>TIQUE NOTA DE CREDITO</t>
  </si>
  <si>
    <t>TIQUE NOTA DE CREDITO A</t>
  </si>
  <si>
    <t>LIQUIDACION DE COMPRA PRIMARIA PARA EL SECTOR TABACALERO A</t>
  </si>
  <si>
    <t>LIQUIDACION DE COMPRA PRIMARIA PARA EL SECTOR TABACALERO B</t>
  </si>
  <si>
    <t>CUENTA DE VENTA Y LIQUIDO PRODUCTO A - SECTOR PECUARIO</t>
  </si>
  <si>
    <t>CUENTA DE VENTA Y LIQUIDO PRODUCTO B - SECTOR PECUARIO</t>
  </si>
  <si>
    <t>LIQUIDACION DE COMPRA  A - SECTOR PECUARIO</t>
  </si>
  <si>
    <t>LIQUIDACION DE COMPRA  B - SECTOR PECUARIO</t>
  </si>
  <si>
    <t>LIQUIDACION DE COMPRA DIRECTA A - SECTOR PECUARIO</t>
  </si>
  <si>
    <t>LIQUIDACION DE COMPRA DIRECTA B - SECTOR PECUARIO</t>
  </si>
  <si>
    <t>LIQUIDACION DE VENTA DIRECTA A - SECTOR PECUARIO</t>
  </si>
  <si>
    <t>FACTURA CLASE "T"'</t>
  </si>
  <si>
    <t>NOTA DE DEBITO CLASE "T"</t>
  </si>
  <si>
    <t>NOTA DE CREDITO CLASE "T"</t>
  </si>
  <si>
    <t>CERTIFICADO DE DEPOSITO DE GRANOS EN PLANTA</t>
  </si>
  <si>
    <t>DOL</t>
  </si>
  <si>
    <t>DOLAR ESTADOUNIDENSE</t>
  </si>
  <si>
    <t>PESOS ARGENTINOS</t>
  </si>
  <si>
    <t xml:space="preserve">FRANCOS FRANCESES </t>
  </si>
  <si>
    <t xml:space="preserve">LIRAS ITALIANAS </t>
  </si>
  <si>
    <t xml:space="preserve">PESETAS </t>
  </si>
  <si>
    <t xml:space="preserve">MARCOS ALEMANES </t>
  </si>
  <si>
    <t xml:space="preserve">FLORINES HOLANDESES </t>
  </si>
  <si>
    <t xml:space="preserve">FRANCOS BELGAS </t>
  </si>
  <si>
    <t xml:space="preserve">FRANCOS SUIZOS </t>
  </si>
  <si>
    <t xml:space="preserve">PESOS MEJICANOS </t>
  </si>
  <si>
    <t xml:space="preserve">PESOS URUGUAYOS </t>
  </si>
  <si>
    <t xml:space="preserve">REAL </t>
  </si>
  <si>
    <t xml:space="preserve">ESCUDOS PORTUGUESES </t>
  </si>
  <si>
    <t xml:space="preserve">CORONAS DANESAS </t>
  </si>
  <si>
    <t xml:space="preserve">CORONAS NORUEGAS </t>
  </si>
  <si>
    <t xml:space="preserve">CORONAS SUECAS </t>
  </si>
  <si>
    <t xml:space="preserve">CHELINES AUTRIACOS </t>
  </si>
  <si>
    <t xml:space="preserve">Dólar CANADIENSE </t>
  </si>
  <si>
    <t xml:space="preserve">YENS </t>
  </si>
  <si>
    <t xml:space="preserve">LIBRA ESTERLINA </t>
  </si>
  <si>
    <t xml:space="preserve">MARCOS FINLANDESES </t>
  </si>
  <si>
    <t>BOLIVAR (VENEZOLANO)</t>
  </si>
  <si>
    <t xml:space="preserve">CORONA CHECA </t>
  </si>
  <si>
    <t xml:space="preserve">DINAR (YUGOSLAVO) </t>
  </si>
  <si>
    <t xml:space="preserve">Dólar AUSTRALIANO </t>
  </si>
  <si>
    <t xml:space="preserve">DRACMA (GRIEGO) </t>
  </si>
  <si>
    <t xml:space="preserve">FLORIN (ANTILLAS HOLA </t>
  </si>
  <si>
    <t xml:space="preserve">GUARANI </t>
  </si>
  <si>
    <t xml:space="preserve">SHEKEL (ISRAEL) </t>
  </si>
  <si>
    <t xml:space="preserve">PESO BOLIVIANO </t>
  </si>
  <si>
    <t xml:space="preserve">PESO COLOMBIANO </t>
  </si>
  <si>
    <t xml:space="preserve">PESO CHILENO </t>
  </si>
  <si>
    <t>RAND (SUDAFRICANO)</t>
  </si>
  <si>
    <t xml:space="preserve">NUEVO SOL PERUANO </t>
  </si>
  <si>
    <t xml:space="preserve">SUCRE (ECUATORIANO) </t>
  </si>
  <si>
    <t xml:space="preserve">LEI RUMANOS </t>
  </si>
  <si>
    <t xml:space="preserve">DERECHOS ESPECIALES DE GIRO </t>
  </si>
  <si>
    <t xml:space="preserve">PESOS DOMINICANOS </t>
  </si>
  <si>
    <t xml:space="preserve">BALBOAS PANAMEÑAS </t>
  </si>
  <si>
    <t xml:space="preserve">CORDOBAS NICARAGÛENSES </t>
  </si>
  <si>
    <t xml:space="preserve">DIRHAM MARROQUÍES </t>
  </si>
  <si>
    <t xml:space="preserve">LIBRAS EGIPCIAS </t>
  </si>
  <si>
    <t xml:space="preserve">RIYALS SAUDITAS </t>
  </si>
  <si>
    <t>BRANCOS BELGAS FINANCIERAS</t>
  </si>
  <si>
    <t xml:space="preserve">GRAMOS DE ORO FINO </t>
  </si>
  <si>
    <t xml:space="preserve">LIBRAS IRLANDESAS </t>
  </si>
  <si>
    <t xml:space="preserve">Dólar DE HONG KONG </t>
  </si>
  <si>
    <t xml:space="preserve">Dólar DE SINGAPUR </t>
  </si>
  <si>
    <t xml:space="preserve">Dólar DE JAMAICA </t>
  </si>
  <si>
    <t xml:space="preserve">Dólar DE TAIWAN </t>
  </si>
  <si>
    <t xml:space="preserve">QUETZAL (GUATEMALTECOS) </t>
  </si>
  <si>
    <t xml:space="preserve">FORINT (HUNGRIA) </t>
  </si>
  <si>
    <t xml:space="preserve">BAHT (TAILANDIA) </t>
  </si>
  <si>
    <t xml:space="preserve">ECU </t>
  </si>
  <si>
    <t xml:space="preserve">DINAR KUWAITI </t>
  </si>
  <si>
    <t xml:space="preserve">EURO </t>
  </si>
  <si>
    <t xml:space="preserve">ZLTYS POLACOS </t>
  </si>
  <si>
    <t xml:space="preserve">RUPIAS HINDÚES </t>
  </si>
  <si>
    <t xml:space="preserve">LEMPIRAS HONDUREÑAS </t>
  </si>
  <si>
    <t>YUAN (Rep. Pop. China)</t>
  </si>
  <si>
    <t>CODIGO</t>
  </si>
  <si>
    <t>MONEDA</t>
  </si>
  <si>
    <t>CUIT</t>
  </si>
  <si>
    <t xml:space="preserve">C I CAPITAL FEDERAL </t>
  </si>
  <si>
    <t xml:space="preserve">C I BUENOS AIRES </t>
  </si>
  <si>
    <t xml:space="preserve">C I CATAMARCA </t>
  </si>
  <si>
    <t xml:space="preserve">C I CORDOBA </t>
  </si>
  <si>
    <t xml:space="preserve">C I CORRIENTES </t>
  </si>
  <si>
    <t xml:space="preserve">C I ENTRE RIOS </t>
  </si>
  <si>
    <t xml:space="preserve">C I JUJUY </t>
  </si>
  <si>
    <t xml:space="preserve">C I MENDOZA </t>
  </si>
  <si>
    <t xml:space="preserve">C I LA RIOJA </t>
  </si>
  <si>
    <t xml:space="preserve">C I SALTA </t>
  </si>
  <si>
    <t xml:space="preserve">C I SAN JUAN </t>
  </si>
  <si>
    <t xml:space="preserve">C I SAN LUIS </t>
  </si>
  <si>
    <t xml:space="preserve">C I SANTA FE </t>
  </si>
  <si>
    <t xml:space="preserve">C I SGO DEL ESTERO </t>
  </si>
  <si>
    <t xml:space="preserve">C I TUCUMAN </t>
  </si>
  <si>
    <t xml:space="preserve">C I CHACO </t>
  </si>
  <si>
    <t xml:space="preserve">C I CHUBUT </t>
  </si>
  <si>
    <t xml:space="preserve">C I FORMOSA </t>
  </si>
  <si>
    <t xml:space="preserve">C I MISIONES </t>
  </si>
  <si>
    <t xml:space="preserve">C I NEUQUEN </t>
  </si>
  <si>
    <t xml:space="preserve">C I LA PAMPA </t>
  </si>
  <si>
    <t xml:space="preserve">C I RIO NEGRO </t>
  </si>
  <si>
    <t xml:space="preserve">C I SANTA CRUZ </t>
  </si>
  <si>
    <t xml:space="preserve">C I TIERRA DEL FUEGO </t>
  </si>
  <si>
    <t xml:space="preserve">CUIL </t>
  </si>
  <si>
    <t xml:space="preserve">CDI </t>
  </si>
  <si>
    <t xml:space="preserve">LIBRETA DE ENROLAMIENTO </t>
  </si>
  <si>
    <t xml:space="preserve">LIBRETA CIVICA </t>
  </si>
  <si>
    <t xml:space="preserve">C I EXTRANJERA </t>
  </si>
  <si>
    <t xml:space="preserve">EN TRAMITE </t>
  </si>
  <si>
    <t xml:space="preserve">ACTA DE NACIMIENTO </t>
  </si>
  <si>
    <t xml:space="preserve">PASAPORTE </t>
  </si>
  <si>
    <t xml:space="preserve">C I BS AS R N P </t>
  </si>
  <si>
    <t xml:space="preserve">DOC NACIONAL DE IDENTIDAD </t>
  </si>
  <si>
    <t xml:space="preserve">SIN IDENTIFICAR / VENTA GLOBAL DIARIA </t>
  </si>
  <si>
    <t>Alicuotas</t>
  </si>
  <si>
    <t>NO CORRESPONDE</t>
  </si>
  <si>
    <t xml:space="preserve">A </t>
  </si>
  <si>
    <t xml:space="preserve">No Alcanzado </t>
  </si>
  <si>
    <t xml:space="preserve">C </t>
  </si>
  <si>
    <t xml:space="preserve">Operac. Canje </t>
  </si>
  <si>
    <t xml:space="preserve">D </t>
  </si>
  <si>
    <t xml:space="preserve">Devol. IVA Turistas Extr. </t>
  </si>
  <si>
    <t xml:space="preserve">Operaciones Exentas </t>
  </si>
  <si>
    <t xml:space="preserve">N </t>
  </si>
  <si>
    <t xml:space="preserve">No gravado </t>
  </si>
  <si>
    <t xml:space="preserve">T </t>
  </si>
  <si>
    <t xml:space="preserve">Reintegro Decreto 1043/2016 </t>
  </si>
  <si>
    <t xml:space="preserve">X </t>
  </si>
  <si>
    <t xml:space="preserve">Imp/Exportación Exterior </t>
  </si>
  <si>
    <t xml:space="preserve">Z </t>
  </si>
  <si>
    <t xml:space="preserve">Imp/Exportación Zona Franca </t>
  </si>
  <si>
    <t>DESCRIPCION</t>
  </si>
  <si>
    <t>Tipo
de
Comprobante</t>
  </si>
  <si>
    <t>Neto Gravado 2,5%</t>
  </si>
  <si>
    <t>Iva 2,5%</t>
  </si>
  <si>
    <t>Neto Gravado 5%</t>
  </si>
  <si>
    <t>Iva 5%</t>
  </si>
  <si>
    <t>Neto Gravado 21%</t>
  </si>
  <si>
    <t>Iva 21%</t>
  </si>
  <si>
    <t>Neto Gravado 27%</t>
  </si>
  <si>
    <t>Iva 27%</t>
  </si>
  <si>
    <t>Gravado 0%</t>
  </si>
  <si>
    <t>Neto Gravado 10,5%</t>
  </si>
  <si>
    <t>Iva 10,5%</t>
  </si>
  <si>
    <t>Total Iva</t>
  </si>
  <si>
    <t>Total Neto Gravado</t>
  </si>
  <si>
    <t>E</t>
  </si>
  <si>
    <t xml:space="preserve">TOTAL </t>
  </si>
  <si>
    <t>TOTAL FACT</t>
  </si>
  <si>
    <t>TOTALES</t>
  </si>
  <si>
    <t>A</t>
  </si>
  <si>
    <t>TIPO</t>
  </si>
  <si>
    <t>B</t>
  </si>
  <si>
    <t>C</t>
  </si>
  <si>
    <t>T</t>
  </si>
  <si>
    <t>Fecha del
Comprobante</t>
  </si>
  <si>
    <t>Código de
Documento
del
Comprador</t>
  </si>
  <si>
    <t>Número de
Identificación
del Comprador</t>
  </si>
  <si>
    <t>Apellido y Nombre o
Denominación
del Comprador</t>
  </si>
  <si>
    <t>Percepción
a no Categorizados</t>
  </si>
  <si>
    <t>Importe de Operaciones Exentas</t>
  </si>
  <si>
    <t>Percepciones o Pagos a Cuenta de Impuestos Nacionales</t>
  </si>
  <si>
    <t>Percepciones
de Ingresos
BrutosPercepciones
de Ingresos
Brutos</t>
  </si>
  <si>
    <t>Percepciones
de Imp.
MunicipalesPercepciones
de Imp.
Municipales</t>
  </si>
  <si>
    <t>IVA
Liquidado</t>
  </si>
  <si>
    <t>Fecha de Vencimiento de Pago</t>
  </si>
  <si>
    <t>Importe
Neto
Gravado 0%</t>
  </si>
  <si>
    <t>Total Gravado</t>
  </si>
  <si>
    <t>Número
de 
Comprobante Desde</t>
  </si>
  <si>
    <t>Número de Comprobante
Hasta</t>
  </si>
  <si>
    <t>Conceptos que no
Integran el Precio Neto
Gravado</t>
  </si>
  <si>
    <t>xxxxxxxxxx</t>
  </si>
  <si>
    <t>0</t>
  </si>
  <si>
    <t>SUMA/RESTA</t>
  </si>
  <si>
    <t>TOTAL</t>
  </si>
  <si>
    <t>TOTAL COMPROBANTE</t>
  </si>
  <si>
    <t>Suizo Argentina Sociedad Anoni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</si>
</sst>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ourier"/>
      <family val="1"/>
    </font>
    <font>
      <u/>
      <sz val="10"/>
      <color indexed="12"/>
      <name val="Courier"/>
      <family val="3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0" fontId="4" fillId="0" borderId="0"/>
    <xf numFmtId="0" fontId="5" fillId="0" borderId="0"/>
    <xf numFmtId="0" fontId="6" fillId="0" borderId="0" applyNumberFormat="0" applyFill="0" applyBorder="0" applyAlignment="0" applyProtection="0">
      <alignment vertical="top"/>
      <protection locked="0"/>
    </xf>
    <xf numFmtId="164" fontId="4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2" fillId="0" borderId="1" xfId="0" applyFont="1" applyBorder="1"/>
    <xf numFmtId="0" fontId="3" fillId="2" borderId="1" xfId="0" applyFont="1" applyFill="1" applyBorder="1"/>
    <xf numFmtId="0" fontId="3" fillId="0" borderId="1" xfId="0" applyFont="1" applyBorder="1"/>
    <xf numFmtId="0" fontId="0" fillId="0" borderId="2" xfId="0" applyBorder="1"/>
    <xf numFmtId="0" fontId="0" fillId="0" borderId="6" xfId="0" applyBorder="1"/>
    <xf numFmtId="0" fontId="0" fillId="0" borderId="5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3" borderId="9" xfId="0" quotePrefix="1" applyFill="1" applyBorder="1"/>
    <xf numFmtId="0" fontId="0" fillId="3" borderId="3" xfId="0" quotePrefix="1" applyFill="1" applyBorder="1"/>
    <xf numFmtId="0" fontId="0" fillId="3" borderId="10" xfId="0" quotePrefix="1" applyFill="1" applyBorder="1"/>
    <xf numFmtId="0" fontId="0" fillId="0" borderId="0" xfId="0" applyNumberFormat="1"/>
    <xf numFmtId="2" fontId="0" fillId="0" borderId="0" xfId="0" applyNumberFormat="1"/>
    <xf numFmtId="0" fontId="7" fillId="0" borderId="0" xfId="0" applyFont="1"/>
    <xf numFmtId="0" fontId="8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wrapText="1"/>
    </xf>
    <xf numFmtId="0" fontId="0" fillId="0" borderId="1" xfId="0" applyBorder="1"/>
    <xf numFmtId="0" fontId="9" fillId="0" borderId="1" xfId="0" applyFont="1" applyBorder="1"/>
    <xf numFmtId="0" fontId="0" fillId="0" borderId="0" xfId="0" applyBorder="1"/>
  </cellXfs>
  <cellStyles count="6">
    <cellStyle name="Hipervínculo 2" xfId="4"/>
    <cellStyle name="Millares 2" xfId="5"/>
    <cellStyle name="Normal" xfId="0" builtinId="0"/>
    <cellStyle name="Normal 2" xfId="1"/>
    <cellStyle name="Normal 2 2" xfId="3"/>
    <cellStyle name="Normal 3" xfId="2"/>
  </cellStyles>
  <dxfs count="54">
    <dxf>
      <fill>
        <patternFill patternType="solid">
          <fgColor indexed="64"/>
          <bgColor theme="3" tint="0.79998168889431442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28575</xdr:rowOff>
        </xdr:from>
        <xdr:to>
          <xdr:col>4</xdr:col>
          <xdr:colOff>38100</xdr:colOff>
          <xdr:row>3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Crear Archivo De Datos/Anexar/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Compras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57150</xdr:rowOff>
        </xdr:from>
        <xdr:to>
          <xdr:col>4</xdr:col>
          <xdr:colOff>19050</xdr:colOff>
          <xdr:row>8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Crear Archivo De Datos/Anexar/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Ventas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28575</xdr:rowOff>
        </xdr:from>
        <xdr:to>
          <xdr:col>4</xdr:col>
          <xdr:colOff>0</xdr:colOff>
          <xdr:row>11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Archivo Compras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0</xdr:rowOff>
        </xdr:from>
        <xdr:to>
          <xdr:col>3</xdr:col>
          <xdr:colOff>733425</xdr:colOff>
          <xdr:row>15</xdr:row>
          <xdr:rowOff>28575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Archivo Ventas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57150</xdr:rowOff>
        </xdr:from>
        <xdr:to>
          <xdr:col>7</xdr:col>
          <xdr:colOff>600075</xdr:colOff>
          <xdr:row>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Cargar Comprobantes Compras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76200</xdr:rowOff>
        </xdr:from>
        <xdr:to>
          <xdr:col>7</xdr:col>
          <xdr:colOff>609600</xdr:colOff>
          <xdr:row>7</xdr:row>
          <xdr:rowOff>180975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Cargar Comprobantes Ventas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mpras" displayName="Compras" ref="A1:AL2" totalsRowShown="0" headerRowDxfId="53">
  <tableColumns count="38">
    <tableColumn id="1" name="Fecha del_x000a_Comprobante_x000a_o de la_x000a_Oficialización" dataDxfId="52"/>
    <tableColumn id="2" name="Tipo_x000a_de_x000a_Comprobante"/>
    <tableColumn id="3" name="Punto_x000a_de_x000a_Venta"/>
    <tableColumn id="4" name="Número_x000a_de _x000a_Comprobante"/>
    <tableColumn id="5" name="Número_x000a_de Despacho_x000a_de Importación"/>
    <tableColumn id="6" name="Código de_x000a_Documento_x000a_del_x000a_Vendedor"/>
    <tableColumn id="7" name="Número de_x000a_Identificación_x000a_del Vendedor"/>
    <tableColumn id="8" name="Apellido y Nombre o_x000a_Denominación_x000a_del Vendedor"/>
    <tableColumn id="9" name="Importe Total_x000a_de la_x000a_Operación"/>
    <tableColumn id="10" name="Conceptos_x000a_que no_x000a_Integran el_x000a_Precio Neto_x000a_Gravado" dataDxfId="51"/>
    <tableColumn id="11" name="Importe de_x000a_Operaciones_x000a_Exentas" dataDxfId="50"/>
    <tableColumn id="12" name="Percepciones_x000a_o Pagos a_x000a_Cuenta del_x000a_IVA" dataDxfId="49"/>
    <tableColumn id="13" name="Percepciones_x000a_o Pagos a_x000a_Cuenta de_x000a_Otros Imp._x000a_Nacionales" dataDxfId="48"/>
    <tableColumn id="14" name="Percepciones_x000a_de Ingresos_x000a_Brutos" dataDxfId="47"/>
    <tableColumn id="15" name="Percepciones_x000a_de Imp._x000a_Municipales" dataDxfId="46"/>
    <tableColumn id="16" name="Impuestos_x000a_Internos" dataDxfId="45"/>
    <tableColumn id="17" name="Código de_x000a_Moneda" dataDxfId="44"/>
    <tableColumn id="18" name="Tipo de_x000a_Cambio"/>
    <tableColumn id="19" name="Cantidad _x000a_de _x000a_Alícuotas _x000a_de IVA" dataDxfId="43">
      <calculatedColumnFormula>+IF(IF(Compras[Gravado 0%]&lt;&gt;0,1,0)+IF(Compras[Neto Gravado 2,5%]&lt;&gt;0,1,0)+IF(Compras[Neto Gravado 5%]&lt;&gt;0,1,0)+IF(Compras[Neto Gravado 10,5%]&lt;&gt;0,1,0)+IF(Compras[Neto Gravado 21%]&lt;&gt;0,1,0)+IF(Compras[Neto Gravado 27%]&lt;&gt;0,1,0)&gt;0,IF(Compras[Gravado 0%]&lt;&gt;0,1,0)+IF(Compras[Neto Gravado 2,5%]&lt;&gt;0,1,0)+IF(Compras[Neto Gravado 5%]&lt;&gt;0,1,0)+IF(Compras[Neto Gravado 10,5%]&lt;&gt;0,1,0)+IF(Compras[Neto Gravado 21%]&lt;&gt;0,1,0)+IF(Compras[Neto Gravado 27%]&lt;&gt;0,1,0),IF(VLOOKUP(Compras[[#This Row],[Tipo
de
Comprobante]],'Tabla Comprobantes'!$A$1:$D$90,4)="A",1,0))</calculatedColumnFormula>
    </tableColumn>
    <tableColumn id="31" name="Gravado 0%"/>
    <tableColumn id="20" name="Neto Gravado 2,5%"/>
    <tableColumn id="21" name="Iva 2,5%" dataDxfId="42">
      <calculatedColumnFormula>+ROUND(Compras[[#This Row],[Neto Gravado 2,5%]]*2.5/100,2)</calculatedColumnFormula>
    </tableColumn>
    <tableColumn id="27" name="Neto Gravado 5%"/>
    <tableColumn id="26" name="Iva 5%" dataDxfId="41">
      <calculatedColumnFormula>+ROUND(Compras[[#This Row],[Neto Gravado 5%]]*5/100,2)</calculatedColumnFormula>
    </tableColumn>
    <tableColumn id="33" name="Neto Gravado 10,5%" dataDxfId="40"/>
    <tableColumn id="32" name="Iva 10,5%" dataDxfId="39">
      <calculatedColumnFormula>+ROUND(Compras[[#This Row],[Neto Gravado 10,5%]]*10.5/100,2)</calculatedColumnFormula>
    </tableColumn>
    <tableColumn id="28" name="Neto Gravado 21%"/>
    <tableColumn id="22" name="Iva 21%" dataDxfId="38">
      <calculatedColumnFormula>+ROUND(Compras[[#This Row],[Neto Gravado 21%]]*21/100,2)</calculatedColumnFormula>
    </tableColumn>
    <tableColumn id="30" name="Neto Gravado 27%" dataDxfId="37"/>
    <tableColumn id="29" name="Iva 27%" dataDxfId="36">
      <calculatedColumnFormula>+ROUND(Compras[[#This Row],[Neto Gravado 27%]]*27/100,2)</calculatedColumnFormula>
    </tableColumn>
    <tableColumn id="23" name="Código _x000a_de _x000a_Operación" dataDxfId="35">
      <calculatedColumnFormula>+IF(Compras[[#This Row],[Total Neto Gravado]]=0,"E",0)</calculatedColumnFormula>
    </tableColumn>
    <tableColumn id="35" name="Total Neto Gravado" dataDxfId="34">
      <calculatedColumnFormula>+Compras[[#This Row],[Gravado 0%]]+Compras[[#This Row],[Neto Gravado 2,5%]]+Compras[[#This Row],[Neto Gravado 5%]]+Compras[[#This Row],[Neto Gravado 10,5%]]+Compras[[#This Row],[Neto Gravado 21%]]+Compras[[#This Row],[Neto Gravado 27%]]</calculatedColumnFormula>
    </tableColumn>
    <tableColumn id="34" name="Total Iva" dataDxfId="33">
      <calculatedColumnFormula>+Compras[[#This Row],[Iva 2,5%]]+Compras[[#This Row],[Iva 5%]]+Compras[[#This Row],[Iva 10,5%]]+Compras[[#This Row],[Iva 21%]]+Compras[[#This Row],[Iva 27%]]</calculatedColumnFormula>
    </tableColumn>
    <tableColumn id="24" name="Crédito_x000a_Fiscal_x000a_Computable" dataDxfId="32">
      <calculatedColumnFormula>+Compras[[#This Row],[Iva 27%]]+Compras[[#This Row],[Iva 21%]]+Compras[[#This Row],[Iva 10,5%]]+Compras[[#This Row],[Neto Gravado 5%]]+Compras[[#This Row],[Neto Gravado 2,5%]]</calculatedColumnFormula>
    </tableColumn>
    <tableColumn id="25" name="Otros_x000a_Tributos"/>
    <tableColumn id="36" name="TOTAL " dataDxfId="31">
      <calculatedColumnFormula>+SUM(Compras[[#This Row],[Conceptos
que no
Integran el
Precio Neto
Gravado]:[Impuestos
Internos]])+Compras[[#This Row],[Total Neto Gravado]]+Compras[[#This Row],[Total Iva]]</calculatedColumnFormula>
    </tableColumn>
    <tableColumn id="37" name="TOTAL FACT" dataDxfId="30">
      <calculatedColumnFormula>+Compras[[#This Row],[Importe Total
de la
Operación]]</calculatedColumnFormula>
    </tableColumn>
    <tableColumn id="38" name="SUMA/RESTA" dataDxfId="29">
      <calculatedColumnFormula>+IF(Compras[[#This Row],[Importe Total
de la
Operación]]&gt;0,VLOOKUP(Compras[[#This Row],[Tipo
de
Comprobante]],'Tabla Comprobantes'!$A$1:$D$90,3),1)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Ventas" displayName="Ventas" ref="A1:AL2" totalsRowShown="0" headerRowDxfId="28">
  <tableColumns count="38">
    <tableColumn id="1" name="Fecha del_x000a_Comprobante"/>
    <tableColumn id="2" name="Tipo_x000a_de_x000a_Comprobante"/>
    <tableColumn id="3" name="Punto_x000a_de_x000a_Venta"/>
    <tableColumn id="4" name="Número_x000a_de _x000a_Comprobante Desde"/>
    <tableColumn id="5" name="Número de Comprobante_x000a_Hasta"/>
    <tableColumn id="6" name="Código de_x000a_Documento_x000a_del_x000a_Comprador"/>
    <tableColumn id="7" name="Número de_x000a_Identificación_x000a_del Comprador"/>
    <tableColumn id="8" name="Apellido y Nombre o_x000a_Denominación_x000a_del Comprador"/>
    <tableColumn id="9" name="Importe Total_x000a_de la_x000a_Operación"/>
    <tableColumn id="10" name="Conceptos que no_x000a_Integran el Precio Neto_x000a_Gravado"/>
    <tableColumn id="11" name="Percepción_x000a_a no Categorizados"/>
    <tableColumn id="12" name="Importe de Operaciones Exentas"/>
    <tableColumn id="13" name="Percepciones o Pagos a Cuenta de Impuestos Nacionales"/>
    <tableColumn id="14" name="Percepciones_x000a_de Ingresos_x000a_BrutosPercepciones_x000a_de Ingresos_x000a_Brutos"/>
    <tableColumn id="15" name="Percepciones_x000a_de Imp._x000a_MunicipalesPercepciones_x000a_de Imp._x000a_Municipales"/>
    <tableColumn id="16" name="Impuestos_x000a_Internos"/>
    <tableColumn id="17" name="Código de_x000a_Moneda"/>
    <tableColumn id="18" name="Tipo de_x000a_Cambio"/>
    <tableColumn id="19" name="Cantidad _x000a_de _x000a_Alícuotas _x000a_de IVA" dataDxfId="27">
      <calculatedColumnFormula>+IF(IF(Ventas[[#This Row],[Importe
Neto
Gravado 0%]]&lt;&gt;0,1,0)+IF(Ventas[[#This Row],[Neto Gravado 2,5%]]&lt;&gt;0,1,0)+IF(Ventas[[#This Row],[Neto Gravado 5%]]&lt;&gt;0,1,0)+IF(Ventas[[#This Row],[Neto Gravado 10,5%]]&lt;&gt;0,1,0)+IF(Ventas[[#This Row],[Neto Gravado 21%]]&lt;&gt;0,1,0)+IF(Ventas[[#This Row],[Neto Gravado 27%]]&lt;&gt;0,1,0)&gt;0,IF(Ventas[[#This Row],[Importe
Neto
Gravado 0%]]&lt;&gt;0,1,0)+IF(Ventas[[#This Row],[Neto Gravado 2,5%]]&lt;&gt;0,1,0)+IF(Ventas[[#This Row],[Neto Gravado 5%]]&lt;&gt;0,1,0)+IF(Ventas[[#This Row],[Neto Gravado 10,5%]]&lt;&gt;0,1,0)+IF(Ventas[[#This Row],[Neto Gravado 21%]]&lt;&gt;0,1,0)+IF(Ventas[[#This Row],[Neto Gravado 27%]]&lt;&gt;0,1,0),1)</calculatedColumnFormula>
    </tableColumn>
    <tableColumn id="20" name="Importe_x000a_Neto_x000a_Gravado 0%"/>
    <tableColumn id="21" name="Neto Gravado 2,5%"/>
    <tableColumn id="22" name="Iva 2,5%" dataDxfId="26">
      <calculatedColumnFormula>+ROUND(Ventas[[#This Row],[Neto Gravado 2,5%]]*2.5/100,2)</calculatedColumnFormula>
    </tableColumn>
    <tableColumn id="23" name="Neto Gravado 5%"/>
    <tableColumn id="24" name="Iva 5%" dataDxfId="25">
      <calculatedColumnFormula>+ROUND(Ventas[[#This Row],[Neto Gravado 5%]]*5/100,2)</calculatedColumnFormula>
    </tableColumn>
    <tableColumn id="25" name="Neto Gravado 10,5%"/>
    <tableColumn id="26" name="Iva 10,5%" dataDxfId="24">
      <calculatedColumnFormula>+ROUND(Ventas[[#This Row],[Neto Gravado 10,5%]]*10.5/100,2)</calculatedColumnFormula>
    </tableColumn>
    <tableColumn id="27" name="Neto Gravado 21%"/>
    <tableColumn id="28" name="Iva 21%" dataDxfId="23">
      <calculatedColumnFormula>+ROUND(Ventas[[#This Row],[Neto Gravado 21%]]*21/100,2)</calculatedColumnFormula>
    </tableColumn>
    <tableColumn id="29" name="Neto Gravado 27%"/>
    <tableColumn id="30" name="Iva 27%" dataDxfId="22">
      <calculatedColumnFormula>+ROUND(Ventas[[#This Row],[Neto Gravado 27%]]*27/100,2)</calculatedColumnFormula>
    </tableColumn>
    <tableColumn id="35" name="Total Gravado">
      <calculatedColumnFormula>+Ventas[Neto Gravado 2,5%]+Ventas[Neto Gravado 5%]+Ventas[Neto Gravado 10,5%]+Ventas[Neto Gravado 21%]+Ventas[Neto Gravado 27%]+Ventas[Importe
Neto
Gravado 0%]</calculatedColumnFormula>
    </tableColumn>
    <tableColumn id="31" name="IVA_x000a_Liquidado">
      <calculatedColumnFormula>+Ventas[Iva 2,5%]+Ventas[Iva 5%]+Ventas[Iva 10,5%]+Ventas[Iva 21%]+Ventas[Iva 27%]</calculatedColumnFormula>
    </tableColumn>
    <tableColumn id="32" name="Código _x000a_de _x000a_Operación" dataDxfId="21">
      <calculatedColumnFormula>+IF(Ventas[[#This Row],[IVA
Liquidado]]&gt;0,0,"E")</calculatedColumnFormula>
    </tableColumn>
    <tableColumn id="33" name="Otros_x000a_Tributos"/>
    <tableColumn id="34" name="Fecha de Vencimiento de Pago"/>
    <tableColumn id="38" name="TOTAL" dataDxfId="20">
      <calculatedColumnFormula>+SUM(Ventas[[#This Row],[Conceptos que no
Integran el Precio Neto
Gravado]:[Impuestos
Internos]])+Ventas[[#This Row],[Total Gravado]]+Ventas[[#This Row],[IVA
Liquidado]]+Ventas[[#This Row],[Otros
Tributos]]</calculatedColumnFormula>
    </tableColumn>
    <tableColumn id="37" name="TOTAL COMPROBANTE" dataDxfId="19">
      <calculatedColumnFormula>+Ventas[[#This Row],[Importe Total
de la
Operación]]</calculatedColumnFormula>
    </tableColumn>
    <tableColumn id="36" name="SUMA/RESTA" dataDxfId="18">
      <calculatedColumnFormula>+IF(Ventas[Tipo
de
Comprobante]&gt;0,VLOOKUP(Ventas[Tipo
de
Comprobante],'Tabla Comprobantes'!$A$1:$D$90,3),1)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MONEDAS" displayName="MONEDAS" ref="F1:G61" totalsRowShown="0" headerRowDxfId="17" headerRowBorderDxfId="16" tableBorderDxfId="15" totalsRowBorderDxfId="14">
  <autoFilter ref="F1:G61"/>
  <tableColumns count="2">
    <tableColumn id="1" name="CODIGO" dataDxfId="13"/>
    <tableColumn id="2" name="MONEDA" dataDxfId="1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5" name="Documento" displayName="Documento" ref="I1:J37" totalsRowShown="0" headerRowDxfId="11" headerRowBorderDxfId="10" tableBorderDxfId="9" totalsRowBorderDxfId="8">
  <autoFilter ref="I1:J37"/>
  <tableColumns count="2">
    <tableColumn id="1" name="Codigo" dataDxfId="7"/>
    <tableColumn id="2" name="Descripcion" dataDxfId="6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6" name="Tabla6" displayName="Tabla6" ref="L1:L7" totalsRowShown="0" headerRowDxfId="5" dataDxfId="3" headerRowBorderDxfId="4" tableBorderDxfId="2" totalsRowBorderDxfId="1">
  <autoFilter ref="L1:L7"/>
  <tableColumns count="1">
    <tableColumn id="1" name="Alicuotas" dataDxfId="0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8" name="OPERACION" displayName="OPERACION" ref="N1:O10" totalsRowShown="0">
  <autoFilter ref="N1:O10"/>
  <tableColumns count="2">
    <tableColumn id="1" name="CODIGO"/>
    <tableColumn id="2" name="DESCRIPC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2:G3"/>
  <sheetViews>
    <sheetView workbookViewId="0">
      <selection activeCell="C19" sqref="C19"/>
    </sheetView>
  </sheetViews>
  <sheetFormatPr baseColWidth="10" defaultRowHeight="15" x14ac:dyDescent="0.25"/>
  <sheetData>
    <row r="2" spans="1:7" x14ac:dyDescent="0.25">
      <c r="A2" s="1"/>
      <c r="B2">
        <v>1</v>
      </c>
      <c r="C2">
        <v>2</v>
      </c>
      <c r="D2">
        <v>5133</v>
      </c>
      <c r="F2">
        <v>80</v>
      </c>
      <c r="G2">
        <v>30710854013</v>
      </c>
    </row>
    <row r="3" spans="1:7" x14ac:dyDescent="0.25">
      <c r="A3" s="1"/>
      <c r="B3">
        <v>1</v>
      </c>
      <c r="C3">
        <v>4</v>
      </c>
      <c r="D3">
        <v>22874</v>
      </c>
      <c r="F3">
        <v>80</v>
      </c>
      <c r="G3">
        <v>20177316408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svImportToSQLcompras">
                <anchor moveWithCells="1" sizeWithCells="1">
                  <from>
                    <xdr:col>0</xdr:col>
                    <xdr:colOff>742950</xdr:colOff>
                    <xdr:row>1</xdr:row>
                    <xdr:rowOff>28575</xdr:rowOff>
                  </from>
                  <to>
                    <xdr:col>4</xdr:col>
                    <xdr:colOff>38100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svImportToSQLventas">
                <anchor moveWithCells="1" sizeWithCells="1">
                  <from>
                    <xdr:col>1</xdr:col>
                    <xdr:colOff>19050</xdr:colOff>
                    <xdr:row>5</xdr:row>
                    <xdr:rowOff>57150</xdr:rowOff>
                  </from>
                  <to>
                    <xdr:col>4</xdr:col>
                    <xdr:colOff>19050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xportar_compras">
                <anchor moveWithCells="1" sizeWithCells="1">
                  <from>
                    <xdr:col>1</xdr:col>
                    <xdr:colOff>0</xdr:colOff>
                    <xdr:row>9</xdr:row>
                    <xdr:rowOff>28575</xdr:rowOff>
                  </from>
                  <to>
                    <xdr:col>4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exportar_ventas">
                <anchor moveWithCells="1" sizeWithCells="1">
                  <from>
                    <xdr:col>1</xdr:col>
                    <xdr:colOff>9525</xdr:colOff>
                    <xdr:row>13</xdr:row>
                    <xdr:rowOff>0</xdr:rowOff>
                  </from>
                  <to>
                    <xdr:col>3</xdr:col>
                    <xdr:colOff>733425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Button 6">
              <controlPr defaultSize="0" print="0" autoFill="0" autoPict="0" macro="[0]!Fecha_Compras">
                <anchor moveWithCells="1" sizeWithCells="1">
                  <from>
                    <xdr:col>5</xdr:col>
                    <xdr:colOff>0</xdr:colOff>
                    <xdr:row>1</xdr:row>
                    <xdr:rowOff>57150</xdr:rowOff>
                  </from>
                  <to>
                    <xdr:col>7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8" name="Button 7">
              <controlPr defaultSize="0" print="0" autoFill="0" autoPict="0" macro="[0]!Fecha_Ventas">
                <anchor moveWithCells="1" sizeWithCells="1">
                  <from>
                    <xdr:col>4</xdr:col>
                    <xdr:colOff>742950</xdr:colOff>
                    <xdr:row>5</xdr:row>
                    <xdr:rowOff>76200</xdr:rowOff>
                  </from>
                  <to>
                    <xdr:col>7</xdr:col>
                    <xdr:colOff>609600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L174"/>
  <sheetViews>
    <sheetView tabSelected="1" workbookViewId="0">
      <pane ySplit="1" topLeftCell="A2" activePane="bottomLeft" state="frozen"/>
      <selection pane="bottomLeft" activeCell="A11" sqref="A11"/>
    </sheetView>
  </sheetViews>
  <sheetFormatPr baseColWidth="10" defaultRowHeight="15" x14ac:dyDescent="0.25"/>
  <cols>
    <col min="1" max="1" width="24.85546875" bestFit="1" customWidth="1"/>
    <col min="2" max="2" width="12.28515625" customWidth="1"/>
    <col min="4" max="4" width="12.7109375" customWidth="1"/>
    <col min="7" max="7" width="13.7109375" customWidth="1"/>
    <col min="8" max="8" width="20.7109375" customWidth="1"/>
    <col min="13" max="13" width="11.85546875" bestFit="1" customWidth="1"/>
    <col min="24" max="24" width="11.85546875" bestFit="1" customWidth="1"/>
    <col min="25" max="26" width="11.85546875" customWidth="1"/>
    <col min="28" max="28" width="11.85546875" bestFit="1" customWidth="1"/>
    <col min="29" max="30" width="11.85546875" customWidth="1"/>
    <col min="31" max="31" width="11.85546875" bestFit="1" customWidth="1"/>
    <col min="32" max="33" width="11.85546875" customWidth="1"/>
    <col min="36" max="36" width="11.85546875" bestFit="1" customWidth="1"/>
  </cols>
  <sheetData>
    <row r="1" spans="1:38" s="18" customFormat="1" ht="45" customHeight="1" x14ac:dyDescent="0.2">
      <c r="A1" s="17" t="s">
        <v>0</v>
      </c>
      <c r="B1" s="17" t="s">
        <v>232</v>
      </c>
      <c r="C1" s="17" t="s">
        <v>1</v>
      </c>
      <c r="D1" s="17" t="s">
        <v>2</v>
      </c>
      <c r="E1" s="17" t="s">
        <v>3</v>
      </c>
      <c r="F1" s="17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9</v>
      </c>
      <c r="L1" s="17" t="s">
        <v>10</v>
      </c>
      <c r="M1" s="17" t="s">
        <v>11</v>
      </c>
      <c r="N1" s="17" t="s">
        <v>12</v>
      </c>
      <c r="O1" s="17" t="s">
        <v>13</v>
      </c>
      <c r="P1" s="17" t="s">
        <v>14</v>
      </c>
      <c r="Q1" s="17" t="s">
        <v>15</v>
      </c>
      <c r="R1" s="17" t="s">
        <v>16</v>
      </c>
      <c r="S1" s="17" t="s">
        <v>17</v>
      </c>
      <c r="T1" s="17" t="s">
        <v>241</v>
      </c>
      <c r="U1" s="17" t="s">
        <v>233</v>
      </c>
      <c r="V1" s="17" t="s">
        <v>234</v>
      </c>
      <c r="W1" s="17" t="s">
        <v>235</v>
      </c>
      <c r="X1" s="17" t="s">
        <v>236</v>
      </c>
      <c r="Y1" s="17" t="s">
        <v>242</v>
      </c>
      <c r="Z1" s="17" t="s">
        <v>243</v>
      </c>
      <c r="AA1" s="17" t="s">
        <v>237</v>
      </c>
      <c r="AB1" s="17" t="s">
        <v>238</v>
      </c>
      <c r="AC1" s="17" t="s">
        <v>239</v>
      </c>
      <c r="AD1" s="17" t="s">
        <v>240</v>
      </c>
      <c r="AE1" s="17" t="s">
        <v>18</v>
      </c>
      <c r="AF1" s="17" t="s">
        <v>245</v>
      </c>
      <c r="AG1" s="17" t="s">
        <v>244</v>
      </c>
      <c r="AH1" s="17" t="s">
        <v>19</v>
      </c>
      <c r="AI1" s="17" t="s">
        <v>20</v>
      </c>
      <c r="AJ1" s="17" t="s">
        <v>247</v>
      </c>
      <c r="AK1" s="17" t="s">
        <v>248</v>
      </c>
      <c r="AL1" s="17" t="s">
        <v>273</v>
      </c>
    </row>
    <row r="2" spans="1:38" ht="16.5" customHeight="1" x14ac:dyDescent="0.25">
      <c r="A2" s="1">
        <v>44256</v>
      </c>
      <c r="B2" s="14">
        <v>1</v>
      </c>
      <c r="C2">
        <v>306</v>
      </c>
      <c r="D2">
        <v>13192881</v>
      </c>
      <c r="F2">
        <v>80</v>
      </c>
      <c r="G2">
        <v>30516968431</v>
      </c>
      <c r="H2" t="s">
        <v>276</v>
      </c>
      <c r="I2" s="15">
        <v>140715.54999999999</v>
      </c>
      <c r="J2" s="15">
        <v>0</v>
      </c>
      <c r="K2" s="15">
        <v>125203.25</v>
      </c>
      <c r="L2" s="15">
        <v>375.3</v>
      </c>
      <c r="M2" s="15">
        <v>0</v>
      </c>
      <c r="N2" s="15">
        <v>0</v>
      </c>
      <c r="O2" s="15">
        <v>0</v>
      </c>
      <c r="P2" s="15">
        <v>0</v>
      </c>
      <c r="Q2" t="s">
        <v>21</v>
      </c>
      <c r="R2">
        <v>1</v>
      </c>
      <c r="S2">
        <f>+IF(IF(Compras[Gravado 0%]&lt;&gt;0,1,0)+IF(Compras[Neto Gravado 2,5%]&lt;&gt;0,1,0)+IF(Compras[Neto Gravado 5%]&lt;&gt;0,1,0)+IF(Compras[Neto Gravado 10,5%]&lt;&gt;0,1,0)+IF(Compras[Neto Gravado 21%]&lt;&gt;0,1,0)+IF(Compras[Neto Gravado 27%]&lt;&gt;0,1,0)&gt;0,IF(Compras[Gravado 0%]&lt;&gt;0,1,0)+IF(Compras[Neto Gravado 2,5%]&lt;&gt;0,1,0)+IF(Compras[Neto Gravado 5%]&lt;&gt;0,1,0)+IF(Compras[Neto Gravado 10,5%]&lt;&gt;0,1,0)+IF(Compras[Neto Gravado 21%]&lt;&gt;0,1,0)+IF(Compras[Neto Gravado 27%]&lt;&gt;0,1,0),IF(VLOOKUP(Compras[[#This Row],[Tipo
de
Comprobante]],'Tabla Comprobantes'!$A$1:$D$90,4)="A",1,0))</f>
        <v>1</v>
      </c>
      <c r="T2">
        <v>0</v>
      </c>
      <c r="U2">
        <v>0</v>
      </c>
      <c r="V2">
        <f>+ROUND(Compras[[#This Row],[Neto Gravado 2,5%]]*2.5/100,2)</f>
        <v>0</v>
      </c>
      <c r="W2">
        <v>0</v>
      </c>
      <c r="X2">
        <f>+ROUND(Compras[[#This Row],[Neto Gravado 5%]]*5/100,2)</f>
        <v>0</v>
      </c>
      <c r="Y2">
        <v>0</v>
      </c>
      <c r="Z2">
        <f>+ROUND(Compras[[#This Row],[Neto Gravado 10,5%]]*10.5/100,2)</f>
        <v>0</v>
      </c>
      <c r="AA2">
        <v>12509.92</v>
      </c>
      <c r="AB2">
        <f>+ROUND(Compras[[#This Row],[Neto Gravado 21%]]*21/100,2)</f>
        <v>2627.08</v>
      </c>
      <c r="AC2">
        <v>0</v>
      </c>
      <c r="AD2">
        <f>+ROUND(Compras[[#This Row],[Neto Gravado 27%]]*27/100,2)</f>
        <v>0</v>
      </c>
      <c r="AE2">
        <f>+IF(Compras[[#This Row],[Total Neto Gravado]]=0,"E",0)</f>
        <v>0</v>
      </c>
      <c r="AF2">
        <f>+Compras[[#This Row],[Gravado 0%]]+Compras[[#This Row],[Neto Gravado 2,5%]]+Compras[[#This Row],[Neto Gravado 5%]]+Compras[[#This Row],[Neto Gravado 10,5%]]+Compras[[#This Row],[Neto Gravado 21%]]+Compras[[#This Row],[Neto Gravado 27%]]</f>
        <v>12509.92</v>
      </c>
      <c r="AG2">
        <f>+Compras[[#This Row],[Iva 2,5%]]+Compras[[#This Row],[Iva 5%]]+Compras[[#This Row],[Iva 10,5%]]+Compras[[#This Row],[Iva 21%]]+Compras[[#This Row],[Iva 27%]]</f>
        <v>2627.08</v>
      </c>
      <c r="AH2">
        <f>+Compras[[#This Row],[Iva 27%]]+Compras[[#This Row],[Iva 21%]]+Compras[[#This Row],[Iva 10,5%]]+Compras[[#This Row],[Neto Gravado 5%]]+Compras[[#This Row],[Neto Gravado 2,5%]]</f>
        <v>2627.08</v>
      </c>
      <c r="AI2">
        <v>0</v>
      </c>
      <c r="AJ2" s="14">
        <f>+SUM(Compras[[#This Row],[Conceptos
que no
Integran el
Precio Neto
Gravado]:[Impuestos
Internos]])+Compras[[#This Row],[Total Neto Gravado]]+Compras[[#This Row],[Total Iva]]</f>
        <v>140715.54999999999</v>
      </c>
      <c r="AK2" s="14">
        <f>+Compras[[#This Row],[Importe Total
de la
Operación]]</f>
        <v>140715.54999999999</v>
      </c>
      <c r="AL2" s="14">
        <f>+IF(Compras[[#This Row],[Importe Total
de la
Operación]]&gt;0,VLOOKUP(Compras[[#This Row],[Tipo
de
Comprobante]],'Tabla Comprobantes'!$A$1:$D$90,3),1)</f>
        <v>1</v>
      </c>
    </row>
    <row r="3" spans="1:38" x14ac:dyDescent="0.25">
      <c r="A3" s="16" t="s">
        <v>249</v>
      </c>
      <c r="I3" s="21">
        <f>+SUM(Compras[[#All],[Importe Total
de la
Operación]])</f>
        <v>140715.54999999999</v>
      </c>
      <c r="J3" s="20">
        <f>+SUMPRODUCT(Compras[[#All],[Conceptos
que no
Integran el
Precio Neto
Gravado]],Compras[[#All],[SUMA/RESTA]])</f>
        <v>0</v>
      </c>
      <c r="K3" s="20">
        <f>+SUMPRODUCT(Compras[[#All],[Importe de
Operaciones
Exentas]],Compras[[#All],[SUMA/RESTA]])</f>
        <v>125203.25</v>
      </c>
      <c r="L3" s="20">
        <f>+SUMPRODUCT(Compras[[#All],[Percepciones
o Pagos a
Cuenta del
IVA]],Compras[[#All],[SUMA/RESTA]])</f>
        <v>375.3</v>
      </c>
      <c r="M3" s="20">
        <f>+SUMPRODUCT(Compras[[#All],[Percepciones
o Pagos a
Cuenta de
Otros Imp.
Nacionales]],Compras[[#All],[SUMA/RESTA]])</f>
        <v>0</v>
      </c>
      <c r="N3" s="20">
        <f>+SUMPRODUCT(Compras[[#All],[Percepciones
de Ingresos
Brutos]],Compras[[#All],[SUMA/RESTA]])</f>
        <v>0</v>
      </c>
      <c r="O3" s="20">
        <f>+SUMPRODUCT(Compras[[#All],[Percepciones
de Imp.
Municipales]],Compras[[#All],[SUMA/RESTA]])</f>
        <v>0</v>
      </c>
      <c r="P3" s="20">
        <f>+SUMPRODUCT(Compras[[#All],[Impuestos
Internos]],Compras[[#All],[SUMA/RESTA]])</f>
        <v>0</v>
      </c>
      <c r="Q3" s="20"/>
      <c r="R3" s="20"/>
      <c r="S3" s="20"/>
      <c r="T3" s="20">
        <f>+SUMPRODUCT(Compras[[#All],[Gravado 0%]],Compras[[#All],[SUMA/RESTA]])</f>
        <v>0</v>
      </c>
      <c r="U3" s="20">
        <f>+SUMPRODUCT(Compras[[#All],[Neto Gravado 2,5%]],Compras[[#All],[SUMA/RESTA]])</f>
        <v>0</v>
      </c>
      <c r="V3" s="20">
        <f>+SUMPRODUCT(Compras[[#All],[Iva 2,5%]],Compras[[#All],[SUMA/RESTA]])</f>
        <v>0</v>
      </c>
      <c r="W3" s="20">
        <f>+SUMPRODUCT(Compras[[#All],[Neto Gravado 5%]],Compras[[#All],[SUMA/RESTA]])</f>
        <v>0</v>
      </c>
      <c r="X3" s="20">
        <f>+SUMPRODUCT(Compras[[#All],[Iva 5%]],Compras[[#All],[SUMA/RESTA]])</f>
        <v>0</v>
      </c>
      <c r="Y3" s="20">
        <f>+SUMPRODUCT(Compras[[#All],[Neto Gravado 10,5%]],Compras[[#All],[SUMA/RESTA]])</f>
        <v>0</v>
      </c>
      <c r="Z3" s="20">
        <f>+SUMPRODUCT(Compras[[#All],[Iva 10,5%]],Compras[[#All],[SUMA/RESTA]])</f>
        <v>0</v>
      </c>
      <c r="AA3" s="20">
        <f>+SUMPRODUCT(Compras[[#All],[Neto Gravado 21%]],Compras[[#All],[SUMA/RESTA]])</f>
        <v>12509.92</v>
      </c>
      <c r="AB3" s="20">
        <f>+SUMPRODUCT(Compras[[#All],[Iva 21%]],Compras[[#All],[SUMA/RESTA]])</f>
        <v>2627.08</v>
      </c>
      <c r="AC3" s="20">
        <f>+SUMPRODUCT(Compras[[#All],[Neto Gravado 27%]],Compras[[#All],[SUMA/RESTA]])</f>
        <v>0</v>
      </c>
      <c r="AD3" s="20">
        <f>+SUMPRODUCT(Compras[[#All],[Iva 27%]],Compras[[#All],[SUMA/RESTA]])</f>
        <v>0</v>
      </c>
      <c r="AE3" s="20"/>
      <c r="AF3" s="20">
        <f>+SUMPRODUCT(Compras[[#All],[Total Neto Gravado]],Compras[[#All],[SUMA/RESTA]])</f>
        <v>12509.92</v>
      </c>
      <c r="AG3" s="20">
        <f>+SUMPRODUCT(Compras[[#All],[Total Iva]],Compras[[#All],[SUMA/RESTA]])</f>
        <v>2627.08</v>
      </c>
      <c r="AH3" s="20">
        <f>+SUMPRODUCT(Compras[[#All],[Crédito
Fiscal
Computable]],Compras[[#All],[SUMA/RESTA]])</f>
        <v>2627.08</v>
      </c>
      <c r="AI3" s="20">
        <f>+SUMPRODUCT(Compras[[#All],[Otros
Tributos]],Compras[[#All],[SUMA/RESTA]])</f>
        <v>0</v>
      </c>
      <c r="AJ3" s="20">
        <f>+SUMPRODUCT(Compras[[#All],[TOTAL ]],Compras[[#All],[SUMA/RESTA]])</f>
        <v>140715.54999999999</v>
      </c>
      <c r="AK3" s="20">
        <f>+SUMPRODUCT(Compras[[#All],[TOTAL FACT]],Compras[[#All],[SUMA/RESTA]])</f>
        <v>140715.54999999999</v>
      </c>
    </row>
    <row r="174" spans="1:37" x14ac:dyDescent="0.25">
      <c r="A174">
        <v>1</v>
      </c>
      <c r="B174">
        <f>+A174+1</f>
        <v>2</v>
      </c>
      <c r="C174">
        <f t="shared" ref="C174:AK174" si="0">+B174+1</f>
        <v>3</v>
      </c>
      <c r="D174">
        <f t="shared" si="0"/>
        <v>4</v>
      </c>
      <c r="E174">
        <f t="shared" si="0"/>
        <v>5</v>
      </c>
      <c r="F174">
        <f t="shared" si="0"/>
        <v>6</v>
      </c>
      <c r="G174">
        <f t="shared" si="0"/>
        <v>7</v>
      </c>
      <c r="H174">
        <f t="shared" si="0"/>
        <v>8</v>
      </c>
      <c r="I174">
        <f t="shared" si="0"/>
        <v>9</v>
      </c>
      <c r="J174">
        <f t="shared" si="0"/>
        <v>10</v>
      </c>
      <c r="K174">
        <f t="shared" si="0"/>
        <v>11</v>
      </c>
      <c r="L174">
        <f t="shared" si="0"/>
        <v>12</v>
      </c>
      <c r="M174">
        <f t="shared" si="0"/>
        <v>13</v>
      </c>
      <c r="N174">
        <f t="shared" si="0"/>
        <v>14</v>
      </c>
      <c r="O174">
        <f t="shared" si="0"/>
        <v>15</v>
      </c>
      <c r="P174">
        <f t="shared" si="0"/>
        <v>16</v>
      </c>
      <c r="Q174">
        <f t="shared" si="0"/>
        <v>17</v>
      </c>
      <c r="R174">
        <f t="shared" si="0"/>
        <v>18</v>
      </c>
      <c r="S174">
        <f t="shared" si="0"/>
        <v>19</v>
      </c>
      <c r="T174">
        <f t="shared" si="0"/>
        <v>20</v>
      </c>
      <c r="U174">
        <f t="shared" si="0"/>
        <v>21</v>
      </c>
      <c r="V174">
        <f t="shared" si="0"/>
        <v>22</v>
      </c>
      <c r="W174">
        <f t="shared" si="0"/>
        <v>23</v>
      </c>
      <c r="X174">
        <f t="shared" si="0"/>
        <v>24</v>
      </c>
      <c r="Y174">
        <f t="shared" si="0"/>
        <v>25</v>
      </c>
      <c r="Z174">
        <f t="shared" si="0"/>
        <v>26</v>
      </c>
      <c r="AA174">
        <f t="shared" si="0"/>
        <v>27</v>
      </c>
      <c r="AB174">
        <f t="shared" si="0"/>
        <v>28</v>
      </c>
      <c r="AC174">
        <f t="shared" si="0"/>
        <v>29</v>
      </c>
      <c r="AD174">
        <f t="shared" si="0"/>
        <v>30</v>
      </c>
      <c r="AE174">
        <f t="shared" si="0"/>
        <v>31</v>
      </c>
      <c r="AF174">
        <f t="shared" si="0"/>
        <v>32</v>
      </c>
      <c r="AG174">
        <f t="shared" si="0"/>
        <v>33</v>
      </c>
      <c r="AH174">
        <f t="shared" si="0"/>
        <v>34</v>
      </c>
      <c r="AI174">
        <f t="shared" si="0"/>
        <v>35</v>
      </c>
      <c r="AJ174">
        <f t="shared" si="0"/>
        <v>36</v>
      </c>
      <c r="AK174">
        <f t="shared" si="0"/>
        <v>37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'Tabla Comprobantes'!$A$2:$A$90</xm:f>
          </x14:formula1>
          <xm:sqref>B2</xm:sqref>
        </x14:dataValidation>
        <x14:dataValidation type="list" allowBlank="1" showInputMessage="1" showErrorMessage="1">
          <x14:formula1>
            <xm:f>'Tabla Comprobantes'!$I$2:$I$37</xm:f>
          </x14:formula1>
          <xm:sqref>F2</xm:sqref>
        </x14:dataValidation>
        <x14:dataValidation type="list" allowBlank="1" showInputMessage="1" showErrorMessage="1">
          <x14:formula1>
            <xm:f>'Tabla Comprobantes'!$N$2:$N$10</xm:f>
          </x14:formula1>
          <xm:sqref>AE2</xm:sqref>
        </x14:dataValidation>
        <x14:dataValidation type="list" allowBlank="1" showInputMessage="1" showErrorMessage="1">
          <x14:formula1>
            <xm:f>'Tabla Comprobantes'!$F$2:$F$61</xm:f>
          </x14:formula1>
          <xm:sqref>Q2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L3"/>
  <sheetViews>
    <sheetView workbookViewId="0">
      <pane ySplit="1" topLeftCell="A2" activePane="bottomLeft" state="frozen"/>
      <selection activeCell="P15" sqref="P15"/>
      <selection pane="bottomLeft" activeCell="A12" sqref="A12"/>
    </sheetView>
  </sheetViews>
  <sheetFormatPr baseColWidth="10" defaultRowHeight="15" x14ac:dyDescent="0.25"/>
  <cols>
    <col min="7" max="7" width="12.85546875" customWidth="1"/>
    <col min="10" max="10" width="16.85546875" customWidth="1"/>
    <col min="12" max="12" width="17.7109375" customWidth="1"/>
    <col min="13" max="13" width="21.42578125" customWidth="1"/>
    <col min="21" max="21" width="16" customWidth="1"/>
    <col min="23" max="23" width="14.7109375" customWidth="1"/>
    <col min="25" max="25" width="16.85546875" customWidth="1"/>
    <col min="26" max="26" width="11.85546875" bestFit="1" customWidth="1"/>
    <col min="27" max="27" width="15.5703125" customWidth="1"/>
    <col min="29" max="29" width="15.5703125" customWidth="1"/>
    <col min="35" max="35" width="23.5703125" customWidth="1"/>
    <col min="36" max="36" width="11.85546875" customWidth="1"/>
    <col min="37" max="37" width="14.85546875" customWidth="1"/>
  </cols>
  <sheetData>
    <row r="1" spans="1:38" s="19" customFormat="1" ht="45" customHeight="1" x14ac:dyDescent="0.2">
      <c r="A1" s="19" t="s">
        <v>255</v>
      </c>
      <c r="B1" s="19" t="s">
        <v>232</v>
      </c>
      <c r="C1" s="19" t="s">
        <v>1</v>
      </c>
      <c r="D1" s="19" t="s">
        <v>268</v>
      </c>
      <c r="E1" s="19" t="s">
        <v>269</v>
      </c>
      <c r="F1" s="19" t="s">
        <v>256</v>
      </c>
      <c r="G1" s="19" t="s">
        <v>257</v>
      </c>
      <c r="H1" s="19" t="s">
        <v>258</v>
      </c>
      <c r="I1" s="19" t="s">
        <v>7</v>
      </c>
      <c r="J1" s="19" t="s">
        <v>270</v>
      </c>
      <c r="K1" s="19" t="s">
        <v>259</v>
      </c>
      <c r="L1" s="19" t="s">
        <v>260</v>
      </c>
      <c r="M1" s="19" t="s">
        <v>261</v>
      </c>
      <c r="N1" s="19" t="s">
        <v>262</v>
      </c>
      <c r="O1" s="19" t="s">
        <v>263</v>
      </c>
      <c r="P1" s="19" t="s">
        <v>14</v>
      </c>
      <c r="Q1" s="19" t="s">
        <v>15</v>
      </c>
      <c r="R1" s="19" t="s">
        <v>16</v>
      </c>
      <c r="S1" s="19" t="s">
        <v>17</v>
      </c>
      <c r="T1" s="19" t="s">
        <v>266</v>
      </c>
      <c r="U1" s="19" t="s">
        <v>233</v>
      </c>
      <c r="V1" s="19" t="s">
        <v>234</v>
      </c>
      <c r="W1" s="19" t="s">
        <v>235</v>
      </c>
      <c r="X1" s="19" t="s">
        <v>236</v>
      </c>
      <c r="Y1" s="19" t="s">
        <v>242</v>
      </c>
      <c r="Z1" s="19" t="s">
        <v>243</v>
      </c>
      <c r="AA1" s="19" t="s">
        <v>237</v>
      </c>
      <c r="AB1" s="19" t="s">
        <v>238</v>
      </c>
      <c r="AC1" s="19" t="s">
        <v>239</v>
      </c>
      <c r="AD1" s="19" t="s">
        <v>240</v>
      </c>
      <c r="AE1" s="19" t="s">
        <v>267</v>
      </c>
      <c r="AF1" s="19" t="s">
        <v>264</v>
      </c>
      <c r="AG1" s="19" t="s">
        <v>18</v>
      </c>
      <c r="AH1" s="19" t="s">
        <v>20</v>
      </c>
      <c r="AI1" s="19" t="s">
        <v>265</v>
      </c>
      <c r="AJ1" s="19" t="s">
        <v>274</v>
      </c>
      <c r="AK1" s="19" t="s">
        <v>275</v>
      </c>
      <c r="AL1" s="19" t="s">
        <v>273</v>
      </c>
    </row>
    <row r="2" spans="1:38" x14ac:dyDescent="0.25">
      <c r="A2" s="1">
        <v>44256</v>
      </c>
      <c r="B2">
        <v>83</v>
      </c>
      <c r="C2">
        <v>5</v>
      </c>
      <c r="D2">
        <v>234371</v>
      </c>
      <c r="E2">
        <v>234446</v>
      </c>
      <c r="F2">
        <v>99</v>
      </c>
      <c r="G2">
        <v>0</v>
      </c>
      <c r="H2" t="s">
        <v>271</v>
      </c>
      <c r="I2">
        <v>102828.18</v>
      </c>
      <c r="J2">
        <v>0</v>
      </c>
      <c r="K2">
        <v>0</v>
      </c>
      <c r="L2">
        <v>98995.72</v>
      </c>
      <c r="M2">
        <v>0</v>
      </c>
      <c r="N2">
        <v>0</v>
      </c>
      <c r="O2">
        <v>0</v>
      </c>
      <c r="P2">
        <v>0</v>
      </c>
      <c r="Q2" t="s">
        <v>21</v>
      </c>
      <c r="R2">
        <v>1</v>
      </c>
      <c r="S2">
        <f>+IF(IF(Ventas[[#This Row],[Importe
Neto
Gravado 0%]]&lt;&gt;0,1,0)+IF(Ventas[[#This Row],[Neto Gravado 2,5%]]&lt;&gt;0,1,0)+IF(Ventas[[#This Row],[Neto Gravado 5%]]&lt;&gt;0,1,0)+IF(Ventas[[#This Row],[Neto Gravado 10,5%]]&lt;&gt;0,1,0)+IF(Ventas[[#This Row],[Neto Gravado 21%]]&lt;&gt;0,1,0)+IF(Ventas[[#This Row],[Neto Gravado 27%]]&lt;&gt;0,1,0)&gt;0,IF(Ventas[[#This Row],[Importe
Neto
Gravado 0%]]&lt;&gt;0,1,0)+IF(Ventas[[#This Row],[Neto Gravado 2,5%]]&lt;&gt;0,1,0)+IF(Ventas[[#This Row],[Neto Gravado 5%]]&lt;&gt;0,1,0)+IF(Ventas[[#This Row],[Neto Gravado 10,5%]]&lt;&gt;0,1,0)+IF(Ventas[[#This Row],[Neto Gravado 21%]]&lt;&gt;0,1,0)+IF(Ventas[[#This Row],[Neto Gravado 27%]]&lt;&gt;0,1,0),1)</f>
        <v>1</v>
      </c>
      <c r="T2">
        <v>0</v>
      </c>
      <c r="U2">
        <v>0</v>
      </c>
      <c r="V2">
        <f>+ROUND(Ventas[[#This Row],[Neto Gravado 2,5%]]*2.5/100,2)</f>
        <v>0</v>
      </c>
      <c r="W2">
        <v>0</v>
      </c>
      <c r="X2">
        <f>+ROUND(Ventas[[#This Row],[Neto Gravado 5%]]*5/100,2)</f>
        <v>0</v>
      </c>
      <c r="Y2">
        <v>0</v>
      </c>
      <c r="Z2">
        <f>+ROUND(Ventas[[#This Row],[Neto Gravado 10,5%]]*10.5/100,2)</f>
        <v>0</v>
      </c>
      <c r="AA2">
        <v>3167.32</v>
      </c>
      <c r="AB2">
        <f>+ROUND(Ventas[[#This Row],[Neto Gravado 21%]]*21/100,2)</f>
        <v>665.14</v>
      </c>
      <c r="AC2">
        <v>0</v>
      </c>
      <c r="AD2">
        <f>+ROUND(Ventas[[#This Row],[Neto Gravado 27%]]*27/100,2)</f>
        <v>0</v>
      </c>
      <c r="AE2">
        <f>+Ventas[Neto Gravado 2,5%]+Ventas[Neto Gravado 5%]+Ventas[Neto Gravado 10,5%]+Ventas[Neto Gravado 21%]+Ventas[Neto Gravado 27%]+Ventas[Importe
Neto
Gravado 0%]</f>
        <v>3167.32</v>
      </c>
      <c r="AF2">
        <f>+Ventas[Iva 2,5%]+Ventas[Iva 5%]+Ventas[Iva 10,5%]+Ventas[Iva 21%]+Ventas[Iva 27%]</f>
        <v>665.14</v>
      </c>
      <c r="AG2">
        <f>+IF(Ventas[[#This Row],[IVA
Liquidado]]&gt;0,0,"E")</f>
        <v>0</v>
      </c>
      <c r="AH2">
        <v>0</v>
      </c>
      <c r="AI2" t="s">
        <v>272</v>
      </c>
      <c r="AJ2">
        <f>+SUM(Ventas[[#This Row],[Conceptos que no
Integran el Precio Neto
Gravado]:[Impuestos
Internos]])+Ventas[[#This Row],[Total Gravado]]+Ventas[[#This Row],[IVA
Liquidado]]+Ventas[[#This Row],[Otros
Tributos]]</f>
        <v>102828.18000000001</v>
      </c>
      <c r="AK2">
        <f>+Ventas[[#This Row],[Importe Total
de la
Operación]]</f>
        <v>102828.18</v>
      </c>
      <c r="AL2">
        <f>+IF(Ventas[Tipo
de
Comprobante]&gt;0,VLOOKUP(Ventas[Tipo
de
Comprobante],'Tabla Comprobantes'!$A$1:$D$90,3),1)</f>
        <v>1</v>
      </c>
    </row>
    <row r="3" spans="1:38" x14ac:dyDescent="0.25">
      <c r="A3" s="16" t="s">
        <v>249</v>
      </c>
      <c r="I3" s="20">
        <f>+SUMPRODUCT(Ventas[Importe Total
de la
Operación],Ventas[SUMA/RESTA])</f>
        <v>102828.18</v>
      </c>
      <c r="J3" s="20">
        <f>+SUMPRODUCT(Ventas[Conceptos que no
Integran el Precio Neto
Gravado],Ventas[SUMA/RESTA])</f>
        <v>0</v>
      </c>
      <c r="K3" s="20">
        <f>+SUMPRODUCT(Ventas[Percepción
a no Categorizados],Ventas[SUMA/RESTA])</f>
        <v>0</v>
      </c>
      <c r="L3" s="20">
        <f>+SUMPRODUCT(Ventas[Importe de Operaciones Exentas],Ventas[SUMA/RESTA])</f>
        <v>98995.72</v>
      </c>
      <c r="M3" s="20">
        <f>+SUMPRODUCT(Ventas[Percepciones o Pagos a Cuenta de Impuestos Nacionales],Ventas[SUMA/RESTA])</f>
        <v>0</v>
      </c>
      <c r="N3" s="20">
        <f>+SUMPRODUCT(Ventas[Percepciones
de Ingresos
BrutosPercepciones
de Ingresos
Brutos],Ventas[SUMA/RESTA])</f>
        <v>0</v>
      </c>
      <c r="O3" s="20">
        <f>+SUMPRODUCT(Ventas[Percepciones
de Imp.
MunicipalesPercepciones
de Imp.
Municipales],Ventas[SUMA/RESTA])</f>
        <v>0</v>
      </c>
      <c r="P3" s="20">
        <f>+SUMPRODUCT(Ventas[Impuestos
Internos],Ventas[SUMA/RESTA])</f>
        <v>0</v>
      </c>
      <c r="Q3" s="20"/>
      <c r="R3" s="20"/>
      <c r="S3" s="20"/>
      <c r="T3" s="20">
        <f>+SUMPRODUCT(Ventas[Importe
Neto
Gravado 0%],Ventas[SUMA/RESTA])</f>
        <v>0</v>
      </c>
      <c r="U3" s="20">
        <f>+SUMPRODUCT(Ventas[Neto Gravado 2,5%],Ventas[SUMA/RESTA])</f>
        <v>0</v>
      </c>
      <c r="V3" s="20">
        <f>+SUMPRODUCT(Ventas[Iva 2,5%],Ventas[SUMA/RESTA])</f>
        <v>0</v>
      </c>
      <c r="W3" s="20">
        <f>+SUMPRODUCT(Ventas[Neto Gravado 5%],Ventas[SUMA/RESTA])</f>
        <v>0</v>
      </c>
      <c r="X3" s="20">
        <f>+SUMPRODUCT(Ventas[Iva 5%],Ventas[SUMA/RESTA])</f>
        <v>0</v>
      </c>
      <c r="Y3" s="20">
        <f>+SUMPRODUCT(Ventas[Neto Gravado 10,5%],Ventas[SUMA/RESTA])</f>
        <v>0</v>
      </c>
      <c r="Z3" s="20">
        <f>+SUMPRODUCT(Ventas[Iva 10,5%],Ventas[SUMA/RESTA])</f>
        <v>0</v>
      </c>
      <c r="AA3" s="20">
        <f>+SUMPRODUCT(Ventas[Neto Gravado 21%],Ventas[SUMA/RESTA])</f>
        <v>3167.32</v>
      </c>
      <c r="AB3" s="20">
        <f>+SUMPRODUCT(Ventas[Iva 21%],Ventas[SUMA/RESTA])</f>
        <v>665.14</v>
      </c>
      <c r="AC3" s="20">
        <f>+SUMPRODUCT(Ventas[Neto Gravado 27%],Ventas[SUMA/RESTA])</f>
        <v>0</v>
      </c>
      <c r="AD3" s="20">
        <f>+SUMPRODUCT(Ventas[Iva 27%],Ventas[SUMA/RESTA])</f>
        <v>0</v>
      </c>
      <c r="AE3" s="20">
        <f>+SUMPRODUCT(Ventas[Total Gravado],Ventas[SUMA/RESTA])</f>
        <v>3167.32</v>
      </c>
      <c r="AF3" s="20">
        <f>+SUMPRODUCT(Ventas[IVA
Liquidado])</f>
        <v>665.14</v>
      </c>
      <c r="AG3" s="20"/>
      <c r="AH3" s="20">
        <f>+SUMPRODUCT(Ventas[Otros
Tributos],Ventas[SUMA/RESTA])</f>
        <v>0</v>
      </c>
      <c r="AI3" s="20"/>
      <c r="AJ3" s="20">
        <f>+SUMPRODUCT(Ventas[TOTAL])</f>
        <v>102828.18000000001</v>
      </c>
      <c r="AK3" s="20">
        <f>+SUMPRODUCT(Ventas[TOTAL COMPROBANTE],Ventas[SUMA/RESTA])</f>
        <v>102828.18</v>
      </c>
      <c r="AL3" s="2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'Tabla Comprobantes'!$A$2:$A$90</xm:f>
          </x14:formula1>
          <xm:sqref>B2</xm:sqref>
        </x14:dataValidation>
        <x14:dataValidation type="list" allowBlank="1" showInputMessage="1" showErrorMessage="1">
          <x14:formula1>
            <xm:f>'Tabla Comprobantes'!$I$2:$I$37</xm:f>
          </x14:formula1>
          <xm:sqref>F2</xm:sqref>
        </x14:dataValidation>
        <x14:dataValidation type="list" allowBlank="1" showInputMessage="1" showErrorMessage="1">
          <x14:formula1>
            <xm:f>'Tabla Comprobantes'!$F$2:$F$61</xm:f>
          </x14:formula1>
          <xm:sqref>Q2</xm:sqref>
        </x14:dataValidation>
        <x14:dataValidation type="list" allowBlank="1" showInputMessage="1" showErrorMessage="1">
          <x14:formula1>
            <xm:f>'Tabla Comprobantes'!$N$2:$N$10</xm:f>
          </x14:formula1>
          <xm:sqref>AG2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90"/>
  <sheetViews>
    <sheetView topLeftCell="A69" workbookViewId="0">
      <selection activeCell="A7" sqref="A7"/>
    </sheetView>
  </sheetViews>
  <sheetFormatPr baseColWidth="10" defaultRowHeight="15" x14ac:dyDescent="0.25"/>
  <cols>
    <col min="2" max="3" width="27.140625" customWidth="1"/>
    <col min="6" max="6" width="12" customWidth="1"/>
    <col min="7" max="7" width="24.28515625" customWidth="1"/>
    <col min="9" max="10" width="12" customWidth="1"/>
    <col min="12" max="12" width="12" customWidth="1"/>
    <col min="14" max="15" width="12" customWidth="1"/>
  </cols>
  <sheetData>
    <row r="1" spans="1:15" x14ac:dyDescent="0.25">
      <c r="A1" s="2" t="s">
        <v>22</v>
      </c>
      <c r="B1" s="2" t="s">
        <v>23</v>
      </c>
      <c r="C1" s="2" t="s">
        <v>24</v>
      </c>
      <c r="D1" s="2" t="s">
        <v>251</v>
      </c>
      <c r="F1" s="5" t="s">
        <v>176</v>
      </c>
      <c r="G1" s="6" t="s">
        <v>177</v>
      </c>
      <c r="I1" s="5" t="s">
        <v>22</v>
      </c>
      <c r="J1" s="6" t="s">
        <v>23</v>
      </c>
      <c r="L1" s="12" t="s">
        <v>214</v>
      </c>
      <c r="N1" t="s">
        <v>176</v>
      </c>
      <c r="O1" t="s">
        <v>231</v>
      </c>
    </row>
    <row r="2" spans="1:15" x14ac:dyDescent="0.25">
      <c r="A2" s="3">
        <v>1</v>
      </c>
      <c r="B2" s="3" t="s">
        <v>27</v>
      </c>
      <c r="C2" s="3">
        <v>1</v>
      </c>
      <c r="D2" s="3" t="s">
        <v>250</v>
      </c>
      <c r="F2" s="4" t="s">
        <v>21</v>
      </c>
      <c r="G2" s="4" t="s">
        <v>117</v>
      </c>
      <c r="I2" s="7">
        <v>80</v>
      </c>
      <c r="J2" s="8" t="s">
        <v>178</v>
      </c>
      <c r="L2" s="11">
        <v>0</v>
      </c>
      <c r="N2">
        <v>0</v>
      </c>
      <c r="O2" t="s">
        <v>215</v>
      </c>
    </row>
    <row r="3" spans="1:15" x14ac:dyDescent="0.25">
      <c r="A3" s="4">
        <v>2</v>
      </c>
      <c r="B3" s="4" t="s">
        <v>28</v>
      </c>
      <c r="C3" s="4">
        <v>1</v>
      </c>
      <c r="D3" s="4" t="s">
        <v>250</v>
      </c>
      <c r="F3" s="7" t="s">
        <v>115</v>
      </c>
      <c r="G3" s="8" t="s">
        <v>116</v>
      </c>
      <c r="I3" s="7">
        <v>0</v>
      </c>
      <c r="J3" s="8" t="s">
        <v>179</v>
      </c>
      <c r="L3" s="11">
        <v>10.5</v>
      </c>
      <c r="N3" t="s">
        <v>216</v>
      </c>
      <c r="O3" t="s">
        <v>217</v>
      </c>
    </row>
    <row r="4" spans="1:15" x14ac:dyDescent="0.25">
      <c r="A4" s="3">
        <v>3</v>
      </c>
      <c r="B4" s="3" t="s">
        <v>29</v>
      </c>
      <c r="C4" s="3">
        <v>-1</v>
      </c>
      <c r="D4" s="3" t="s">
        <v>250</v>
      </c>
      <c r="F4" s="7">
        <v>3</v>
      </c>
      <c r="G4" s="8" t="s">
        <v>118</v>
      </c>
      <c r="I4" s="7">
        <v>1</v>
      </c>
      <c r="J4" s="8" t="s">
        <v>180</v>
      </c>
      <c r="L4" s="11">
        <v>21</v>
      </c>
      <c r="N4" t="s">
        <v>218</v>
      </c>
      <c r="O4" t="s">
        <v>219</v>
      </c>
    </row>
    <row r="5" spans="1:15" x14ac:dyDescent="0.25">
      <c r="A5" s="4">
        <v>4</v>
      </c>
      <c r="B5" s="4" t="s">
        <v>30</v>
      </c>
      <c r="C5" s="4">
        <v>1</v>
      </c>
      <c r="D5" s="4" t="s">
        <v>250</v>
      </c>
      <c r="F5" s="7">
        <v>4</v>
      </c>
      <c r="G5" s="8" t="s">
        <v>119</v>
      </c>
      <c r="I5" s="7">
        <v>2</v>
      </c>
      <c r="J5" s="8" t="s">
        <v>181</v>
      </c>
      <c r="L5" s="11">
        <v>27</v>
      </c>
      <c r="N5" t="s">
        <v>220</v>
      </c>
      <c r="O5" t="s">
        <v>221</v>
      </c>
    </row>
    <row r="6" spans="1:15" x14ac:dyDescent="0.25">
      <c r="A6" s="3">
        <v>5</v>
      </c>
      <c r="B6" s="3" t="s">
        <v>31</v>
      </c>
      <c r="C6" s="3">
        <v>1</v>
      </c>
      <c r="D6" s="3" t="s">
        <v>250</v>
      </c>
      <c r="F6" s="7">
        <v>5</v>
      </c>
      <c r="G6" s="8" t="s">
        <v>120</v>
      </c>
      <c r="I6" s="7">
        <v>3</v>
      </c>
      <c r="J6" s="8" t="s">
        <v>182</v>
      </c>
      <c r="L6" s="13">
        <v>5</v>
      </c>
      <c r="N6" t="s">
        <v>246</v>
      </c>
      <c r="O6" t="s">
        <v>222</v>
      </c>
    </row>
    <row r="7" spans="1:15" x14ac:dyDescent="0.25">
      <c r="A7" s="4">
        <v>6</v>
      </c>
      <c r="B7" s="4" t="s">
        <v>32</v>
      </c>
      <c r="C7" s="4">
        <v>1</v>
      </c>
      <c r="D7" s="4" t="s">
        <v>252</v>
      </c>
      <c r="F7" s="7">
        <v>6</v>
      </c>
      <c r="G7" s="8" t="s">
        <v>121</v>
      </c>
      <c r="I7" s="7">
        <v>4</v>
      </c>
      <c r="J7" s="8" t="s">
        <v>183</v>
      </c>
      <c r="L7" s="13">
        <v>2.5</v>
      </c>
      <c r="N7" t="s">
        <v>223</v>
      </c>
      <c r="O7" t="s">
        <v>224</v>
      </c>
    </row>
    <row r="8" spans="1:15" x14ac:dyDescent="0.25">
      <c r="A8" s="3">
        <v>7</v>
      </c>
      <c r="B8" s="3" t="s">
        <v>33</v>
      </c>
      <c r="C8" s="3">
        <v>1</v>
      </c>
      <c r="D8" s="3" t="s">
        <v>252</v>
      </c>
      <c r="F8" s="7">
        <v>7</v>
      </c>
      <c r="G8" s="8" t="s">
        <v>122</v>
      </c>
      <c r="I8" s="7">
        <v>5</v>
      </c>
      <c r="J8" s="8" t="s">
        <v>184</v>
      </c>
      <c r="N8" t="s">
        <v>225</v>
      </c>
      <c r="O8" t="s">
        <v>226</v>
      </c>
    </row>
    <row r="9" spans="1:15" x14ac:dyDescent="0.25">
      <c r="A9" s="4">
        <v>8</v>
      </c>
      <c r="B9" s="4" t="s">
        <v>34</v>
      </c>
      <c r="C9" s="4">
        <v>-1</v>
      </c>
      <c r="D9" s="4" t="s">
        <v>252</v>
      </c>
      <c r="F9" s="7">
        <v>8</v>
      </c>
      <c r="G9" s="8" t="s">
        <v>123</v>
      </c>
      <c r="I9" s="7">
        <v>6</v>
      </c>
      <c r="J9" s="8" t="s">
        <v>185</v>
      </c>
      <c r="N9" t="s">
        <v>227</v>
      </c>
      <c r="O9" t="s">
        <v>228</v>
      </c>
    </row>
    <row r="10" spans="1:15" x14ac:dyDescent="0.25">
      <c r="A10" s="3">
        <v>9</v>
      </c>
      <c r="B10" s="3" t="s">
        <v>35</v>
      </c>
      <c r="C10" s="3">
        <v>1</v>
      </c>
      <c r="D10" s="3" t="s">
        <v>252</v>
      </c>
      <c r="F10" s="7">
        <v>9</v>
      </c>
      <c r="G10" s="8" t="s">
        <v>124</v>
      </c>
      <c r="I10" s="7">
        <v>7</v>
      </c>
      <c r="J10" s="8" t="s">
        <v>186</v>
      </c>
      <c r="N10" t="s">
        <v>229</v>
      </c>
      <c r="O10" t="s">
        <v>230</v>
      </c>
    </row>
    <row r="11" spans="1:15" x14ac:dyDescent="0.25">
      <c r="A11" s="4">
        <v>10</v>
      </c>
      <c r="B11" s="4" t="s">
        <v>36</v>
      </c>
      <c r="C11" s="4">
        <v>1</v>
      </c>
      <c r="D11" s="4" t="s">
        <v>252</v>
      </c>
      <c r="F11" s="7">
        <v>10</v>
      </c>
      <c r="G11" s="8" t="s">
        <v>125</v>
      </c>
      <c r="I11" s="7">
        <v>8</v>
      </c>
      <c r="J11" s="8" t="s">
        <v>187</v>
      </c>
    </row>
    <row r="12" spans="1:15" x14ac:dyDescent="0.25">
      <c r="A12" s="3">
        <v>11</v>
      </c>
      <c r="B12" s="3" t="s">
        <v>37</v>
      </c>
      <c r="C12" s="3">
        <v>1</v>
      </c>
      <c r="D12" s="3" t="s">
        <v>253</v>
      </c>
      <c r="F12" s="7">
        <v>11</v>
      </c>
      <c r="G12" s="8" t="s">
        <v>126</v>
      </c>
      <c r="I12" s="7">
        <v>9</v>
      </c>
      <c r="J12" s="8" t="s">
        <v>188</v>
      </c>
    </row>
    <row r="13" spans="1:15" x14ac:dyDescent="0.25">
      <c r="A13" s="4">
        <v>12</v>
      </c>
      <c r="B13" s="4" t="s">
        <v>38</v>
      </c>
      <c r="C13" s="4">
        <v>1</v>
      </c>
      <c r="D13" s="4" t="s">
        <v>253</v>
      </c>
      <c r="F13" s="7">
        <v>12</v>
      </c>
      <c r="G13" s="8" t="s">
        <v>127</v>
      </c>
      <c r="I13" s="7">
        <v>10</v>
      </c>
      <c r="J13" s="8" t="s">
        <v>189</v>
      </c>
    </row>
    <row r="14" spans="1:15" x14ac:dyDescent="0.25">
      <c r="A14" s="3">
        <v>13</v>
      </c>
      <c r="B14" s="3" t="s">
        <v>39</v>
      </c>
      <c r="C14" s="3">
        <v>-1</v>
      </c>
      <c r="D14" s="3" t="s">
        <v>253</v>
      </c>
      <c r="F14" s="7">
        <v>13</v>
      </c>
      <c r="G14" s="8" t="s">
        <v>128</v>
      </c>
      <c r="I14" s="7">
        <v>11</v>
      </c>
      <c r="J14" s="8" t="s">
        <v>190</v>
      </c>
    </row>
    <row r="15" spans="1:15" x14ac:dyDescent="0.25">
      <c r="A15" s="4">
        <v>15</v>
      </c>
      <c r="B15" s="4" t="s">
        <v>40</v>
      </c>
      <c r="C15" s="4">
        <v>1</v>
      </c>
      <c r="D15" s="4" t="s">
        <v>253</v>
      </c>
      <c r="F15" s="7">
        <v>14</v>
      </c>
      <c r="G15" s="8" t="s">
        <v>129</v>
      </c>
      <c r="I15" s="7">
        <v>12</v>
      </c>
      <c r="J15" s="8" t="s">
        <v>191</v>
      </c>
    </row>
    <row r="16" spans="1:15" x14ac:dyDescent="0.25">
      <c r="A16" s="3">
        <v>16</v>
      </c>
      <c r="B16" s="3" t="s">
        <v>41</v>
      </c>
      <c r="C16" s="3">
        <v>1</v>
      </c>
      <c r="D16" s="3" t="s">
        <v>253</v>
      </c>
      <c r="F16" s="7">
        <v>15</v>
      </c>
      <c r="G16" s="8" t="s">
        <v>130</v>
      </c>
      <c r="I16" s="7">
        <v>13</v>
      </c>
      <c r="J16" s="8" t="s">
        <v>192</v>
      </c>
    </row>
    <row r="17" spans="1:10" x14ac:dyDescent="0.25">
      <c r="A17" s="4">
        <v>17</v>
      </c>
      <c r="B17" s="4" t="s">
        <v>25</v>
      </c>
      <c r="C17" s="4">
        <v>1</v>
      </c>
      <c r="D17" s="4" t="s">
        <v>250</v>
      </c>
      <c r="F17" s="7">
        <v>16</v>
      </c>
      <c r="G17" s="8" t="s">
        <v>131</v>
      </c>
      <c r="I17" s="7">
        <v>14</v>
      </c>
      <c r="J17" s="8" t="s">
        <v>193</v>
      </c>
    </row>
    <row r="18" spans="1:10" x14ac:dyDescent="0.25">
      <c r="A18" s="3">
        <v>18</v>
      </c>
      <c r="B18" s="3" t="s">
        <v>26</v>
      </c>
      <c r="C18" s="3">
        <v>1</v>
      </c>
      <c r="D18" s="3" t="s">
        <v>252</v>
      </c>
      <c r="F18" s="7">
        <v>17</v>
      </c>
      <c r="G18" s="8" t="s">
        <v>132</v>
      </c>
      <c r="I18" s="7">
        <v>16</v>
      </c>
      <c r="J18" s="8" t="s">
        <v>194</v>
      </c>
    </row>
    <row r="19" spans="1:10" x14ac:dyDescent="0.25">
      <c r="A19" s="4">
        <v>19</v>
      </c>
      <c r="B19" s="4" t="s">
        <v>42</v>
      </c>
      <c r="C19" s="4">
        <v>1</v>
      </c>
      <c r="D19" s="4" t="s">
        <v>246</v>
      </c>
      <c r="F19" s="7">
        <v>18</v>
      </c>
      <c r="G19" s="8" t="s">
        <v>133</v>
      </c>
      <c r="I19" s="7">
        <v>17</v>
      </c>
      <c r="J19" s="8" t="s">
        <v>195</v>
      </c>
    </row>
    <row r="20" spans="1:10" x14ac:dyDescent="0.25">
      <c r="A20" s="3">
        <v>20</v>
      </c>
      <c r="B20" s="3" t="s">
        <v>43</v>
      </c>
      <c r="C20" s="3">
        <v>1</v>
      </c>
      <c r="D20" s="3" t="s">
        <v>246</v>
      </c>
      <c r="F20" s="7">
        <v>19</v>
      </c>
      <c r="G20" s="8" t="s">
        <v>134</v>
      </c>
      <c r="I20" s="7">
        <v>18</v>
      </c>
      <c r="J20" s="8" t="s">
        <v>196</v>
      </c>
    </row>
    <row r="21" spans="1:10" x14ac:dyDescent="0.25">
      <c r="A21" s="4">
        <v>21</v>
      </c>
      <c r="B21" s="4" t="s">
        <v>44</v>
      </c>
      <c r="C21" s="4">
        <v>-1</v>
      </c>
      <c r="D21" s="4" t="s">
        <v>246</v>
      </c>
      <c r="F21" s="7">
        <v>21</v>
      </c>
      <c r="G21" s="8" t="s">
        <v>135</v>
      </c>
      <c r="I21" s="7">
        <v>19</v>
      </c>
      <c r="J21" s="8" t="s">
        <v>197</v>
      </c>
    </row>
    <row r="22" spans="1:10" x14ac:dyDescent="0.25">
      <c r="A22" s="3">
        <v>22</v>
      </c>
      <c r="B22" s="3" t="s">
        <v>45</v>
      </c>
      <c r="C22" s="3">
        <v>1</v>
      </c>
      <c r="D22" s="3" t="s">
        <v>246</v>
      </c>
      <c r="F22" s="7">
        <v>22</v>
      </c>
      <c r="G22" s="8" t="s">
        <v>136</v>
      </c>
      <c r="I22" s="7">
        <v>20</v>
      </c>
      <c r="J22" s="8" t="s">
        <v>198</v>
      </c>
    </row>
    <row r="23" spans="1:10" x14ac:dyDescent="0.25">
      <c r="A23" s="4">
        <v>23</v>
      </c>
      <c r="B23" s="4" t="s">
        <v>85</v>
      </c>
      <c r="C23" s="4">
        <v>1</v>
      </c>
      <c r="D23" s="4" t="s">
        <v>250</v>
      </c>
      <c r="F23" s="7">
        <v>23</v>
      </c>
      <c r="G23" s="8" t="s">
        <v>137</v>
      </c>
      <c r="I23" s="7">
        <v>21</v>
      </c>
      <c r="J23" s="8" t="s">
        <v>199</v>
      </c>
    </row>
    <row r="24" spans="1:10" x14ac:dyDescent="0.25">
      <c r="A24" s="3">
        <v>24</v>
      </c>
      <c r="B24" s="3" t="s">
        <v>86</v>
      </c>
      <c r="C24" s="3">
        <v>1</v>
      </c>
      <c r="D24" s="3" t="s">
        <v>250</v>
      </c>
      <c r="F24" s="7">
        <v>24</v>
      </c>
      <c r="G24" s="8" t="s">
        <v>138</v>
      </c>
      <c r="I24" s="7">
        <v>22</v>
      </c>
      <c r="J24" s="8" t="s">
        <v>200</v>
      </c>
    </row>
    <row r="25" spans="1:10" x14ac:dyDescent="0.25">
      <c r="A25" s="4">
        <v>25</v>
      </c>
      <c r="B25" s="4" t="s">
        <v>87</v>
      </c>
      <c r="C25" s="4">
        <v>1</v>
      </c>
      <c r="D25" s="4" t="s">
        <v>252</v>
      </c>
      <c r="F25" s="7">
        <v>25</v>
      </c>
      <c r="G25" s="8" t="s">
        <v>139</v>
      </c>
      <c r="I25" s="7">
        <v>23</v>
      </c>
      <c r="J25" s="8" t="s">
        <v>201</v>
      </c>
    </row>
    <row r="26" spans="1:10" x14ac:dyDescent="0.25">
      <c r="A26" s="3">
        <v>26</v>
      </c>
      <c r="B26" s="3" t="s">
        <v>88</v>
      </c>
      <c r="C26" s="3">
        <v>1</v>
      </c>
      <c r="D26" s="3" t="s">
        <v>252</v>
      </c>
      <c r="F26" s="7">
        <v>26</v>
      </c>
      <c r="G26" s="8" t="s">
        <v>140</v>
      </c>
      <c r="I26" s="7">
        <v>24</v>
      </c>
      <c r="J26" s="8" t="s">
        <v>202</v>
      </c>
    </row>
    <row r="27" spans="1:10" x14ac:dyDescent="0.25">
      <c r="A27" s="4">
        <v>27</v>
      </c>
      <c r="B27" s="4" t="s">
        <v>46</v>
      </c>
      <c r="C27" s="4">
        <v>1</v>
      </c>
      <c r="D27" s="4" t="s">
        <v>250</v>
      </c>
      <c r="F27" s="7">
        <v>27</v>
      </c>
      <c r="G27" s="8" t="s">
        <v>141</v>
      </c>
      <c r="I27" s="7">
        <v>86</v>
      </c>
      <c r="J27" s="8" t="s">
        <v>203</v>
      </c>
    </row>
    <row r="28" spans="1:10" x14ac:dyDescent="0.25">
      <c r="A28" s="3">
        <v>28</v>
      </c>
      <c r="B28" s="3" t="s">
        <v>47</v>
      </c>
      <c r="C28" s="3">
        <v>1</v>
      </c>
      <c r="D28" s="3" t="s">
        <v>252</v>
      </c>
      <c r="F28" s="7">
        <v>28</v>
      </c>
      <c r="G28" s="8" t="s">
        <v>142</v>
      </c>
      <c r="I28" s="7">
        <v>87</v>
      </c>
      <c r="J28" s="8" t="s">
        <v>204</v>
      </c>
    </row>
    <row r="29" spans="1:10" x14ac:dyDescent="0.25">
      <c r="A29" s="4">
        <v>30</v>
      </c>
      <c r="B29" s="4" t="s">
        <v>48</v>
      </c>
      <c r="C29" s="4">
        <v>1</v>
      </c>
      <c r="D29" s="4" t="s">
        <v>250</v>
      </c>
      <c r="F29" s="7">
        <v>29</v>
      </c>
      <c r="G29" s="8" t="s">
        <v>143</v>
      </c>
      <c r="I29" s="7">
        <v>89</v>
      </c>
      <c r="J29" s="8" t="s">
        <v>205</v>
      </c>
    </row>
    <row r="30" spans="1:10" x14ac:dyDescent="0.25">
      <c r="A30" s="3">
        <v>32</v>
      </c>
      <c r="B30" s="3" t="s">
        <v>49</v>
      </c>
      <c r="C30" s="3">
        <v>1</v>
      </c>
      <c r="D30" s="3" t="s">
        <v>250</v>
      </c>
      <c r="F30" s="7">
        <v>30</v>
      </c>
      <c r="G30" s="8" t="s">
        <v>144</v>
      </c>
      <c r="I30" s="7">
        <v>90</v>
      </c>
      <c r="J30" s="8" t="s">
        <v>206</v>
      </c>
    </row>
    <row r="31" spans="1:10" x14ac:dyDescent="0.25">
      <c r="A31" s="4">
        <v>33</v>
      </c>
      <c r="B31" s="4" t="s">
        <v>50</v>
      </c>
      <c r="C31" s="4">
        <v>1</v>
      </c>
      <c r="D31" s="4" t="s">
        <v>250</v>
      </c>
      <c r="F31" s="7">
        <v>31</v>
      </c>
      <c r="G31" s="8" t="s">
        <v>145</v>
      </c>
      <c r="I31" s="7">
        <v>91</v>
      </c>
      <c r="J31" s="8" t="s">
        <v>207</v>
      </c>
    </row>
    <row r="32" spans="1:10" x14ac:dyDescent="0.25">
      <c r="A32" s="3">
        <v>34</v>
      </c>
      <c r="B32" s="3" t="s">
        <v>89</v>
      </c>
      <c r="C32" s="3">
        <v>1</v>
      </c>
      <c r="D32" s="3" t="s">
        <v>250</v>
      </c>
      <c r="F32" s="7">
        <v>32</v>
      </c>
      <c r="G32" s="8" t="s">
        <v>146</v>
      </c>
      <c r="I32" s="7">
        <v>92</v>
      </c>
      <c r="J32" s="8" t="s">
        <v>208</v>
      </c>
    </row>
    <row r="33" spans="1:10" x14ac:dyDescent="0.25">
      <c r="A33" s="4">
        <v>35</v>
      </c>
      <c r="B33" s="4" t="s">
        <v>90</v>
      </c>
      <c r="C33" s="4">
        <v>1</v>
      </c>
      <c r="D33" s="4" t="s">
        <v>252</v>
      </c>
      <c r="F33" s="7">
        <v>33</v>
      </c>
      <c r="G33" s="8" t="s">
        <v>147</v>
      </c>
      <c r="I33" s="7">
        <v>93</v>
      </c>
      <c r="J33" s="8" t="s">
        <v>209</v>
      </c>
    </row>
    <row r="34" spans="1:10" x14ac:dyDescent="0.25">
      <c r="A34" s="3">
        <v>36</v>
      </c>
      <c r="B34" s="3" t="s">
        <v>51</v>
      </c>
      <c r="C34" s="3">
        <v>1</v>
      </c>
      <c r="D34" s="3" t="s">
        <v>253</v>
      </c>
      <c r="F34" s="7">
        <v>34</v>
      </c>
      <c r="G34" s="8" t="s">
        <v>148</v>
      </c>
      <c r="I34" s="7">
        <v>94</v>
      </c>
      <c r="J34" s="8" t="s">
        <v>210</v>
      </c>
    </row>
    <row r="35" spans="1:10" x14ac:dyDescent="0.25">
      <c r="A35" s="4">
        <v>37</v>
      </c>
      <c r="B35" s="4" t="s">
        <v>52</v>
      </c>
      <c r="C35" s="4">
        <v>1</v>
      </c>
      <c r="D35" s="4" t="s">
        <v>250</v>
      </c>
      <c r="F35" s="7">
        <v>35</v>
      </c>
      <c r="G35" s="8" t="s">
        <v>149</v>
      </c>
      <c r="I35" s="7">
        <v>95</v>
      </c>
      <c r="J35" s="8" t="s">
        <v>211</v>
      </c>
    </row>
    <row r="36" spans="1:10" x14ac:dyDescent="0.25">
      <c r="A36" s="3">
        <v>38</v>
      </c>
      <c r="B36" s="3" t="s">
        <v>53</v>
      </c>
      <c r="C36" s="3">
        <v>-1</v>
      </c>
      <c r="D36" s="3" t="s">
        <v>250</v>
      </c>
      <c r="F36" s="7">
        <v>36</v>
      </c>
      <c r="G36" s="8" t="s">
        <v>150</v>
      </c>
      <c r="I36" s="7">
        <v>96</v>
      </c>
      <c r="J36" s="8" t="s">
        <v>212</v>
      </c>
    </row>
    <row r="37" spans="1:10" x14ac:dyDescent="0.25">
      <c r="A37" s="4">
        <v>39</v>
      </c>
      <c r="B37" s="4" t="s">
        <v>54</v>
      </c>
      <c r="C37" s="4">
        <v>1</v>
      </c>
      <c r="D37" s="4" t="s">
        <v>250</v>
      </c>
      <c r="F37" s="7">
        <v>40</v>
      </c>
      <c r="G37" s="8" t="s">
        <v>151</v>
      </c>
      <c r="I37" s="9">
        <v>99</v>
      </c>
      <c r="J37" s="10" t="s">
        <v>213</v>
      </c>
    </row>
    <row r="38" spans="1:10" x14ac:dyDescent="0.25">
      <c r="A38" s="3">
        <v>40</v>
      </c>
      <c r="B38" s="3" t="s">
        <v>91</v>
      </c>
      <c r="C38" s="3">
        <v>1</v>
      </c>
      <c r="D38" s="3" t="s">
        <v>252</v>
      </c>
      <c r="F38" s="7">
        <v>41</v>
      </c>
      <c r="G38" s="8" t="s">
        <v>152</v>
      </c>
    </row>
    <row r="39" spans="1:10" x14ac:dyDescent="0.25">
      <c r="A39" s="4">
        <v>41</v>
      </c>
      <c r="B39" s="4" t="s">
        <v>92</v>
      </c>
      <c r="C39" s="4">
        <v>1</v>
      </c>
      <c r="D39" s="4" t="s">
        <v>253</v>
      </c>
      <c r="F39" s="7">
        <v>42</v>
      </c>
      <c r="G39" s="8" t="s">
        <v>153</v>
      </c>
    </row>
    <row r="40" spans="1:10" x14ac:dyDescent="0.25">
      <c r="A40" s="3">
        <v>43</v>
      </c>
      <c r="B40" s="3" t="s">
        <v>55</v>
      </c>
      <c r="C40" s="3">
        <v>1</v>
      </c>
      <c r="D40" s="3" t="s">
        <v>252</v>
      </c>
      <c r="F40" s="7">
        <v>43</v>
      </c>
      <c r="G40" s="8" t="s">
        <v>154</v>
      </c>
    </row>
    <row r="41" spans="1:10" x14ac:dyDescent="0.25">
      <c r="A41" s="4">
        <v>45</v>
      </c>
      <c r="B41" s="4" t="s">
        <v>56</v>
      </c>
      <c r="C41" s="4">
        <v>-1</v>
      </c>
      <c r="D41" s="4" t="s">
        <v>250</v>
      </c>
      <c r="F41" s="7">
        <v>44</v>
      </c>
      <c r="G41" s="8" t="s">
        <v>155</v>
      </c>
    </row>
    <row r="42" spans="1:10" x14ac:dyDescent="0.25">
      <c r="A42" s="3">
        <v>46</v>
      </c>
      <c r="B42" s="3" t="s">
        <v>57</v>
      </c>
      <c r="C42" s="3">
        <v>-1</v>
      </c>
      <c r="D42" s="3" t="s">
        <v>252</v>
      </c>
      <c r="F42" s="7">
        <v>45</v>
      </c>
      <c r="G42" s="8" t="s">
        <v>156</v>
      </c>
    </row>
    <row r="43" spans="1:10" x14ac:dyDescent="0.25">
      <c r="A43" s="4">
        <v>48</v>
      </c>
      <c r="B43" s="4" t="s">
        <v>58</v>
      </c>
      <c r="C43" s="4">
        <v>1</v>
      </c>
      <c r="D43" s="4" t="s">
        <v>250</v>
      </c>
      <c r="F43" s="7">
        <v>46</v>
      </c>
      <c r="G43" s="8" t="s">
        <v>157</v>
      </c>
    </row>
    <row r="44" spans="1:10" x14ac:dyDescent="0.25">
      <c r="A44" s="3">
        <v>49</v>
      </c>
      <c r="B44" s="3" t="s">
        <v>59</v>
      </c>
      <c r="C44" s="3">
        <v>1</v>
      </c>
      <c r="D44" s="3" t="s">
        <v>250</v>
      </c>
      <c r="F44" s="7">
        <v>47</v>
      </c>
      <c r="G44" s="8" t="s">
        <v>158</v>
      </c>
    </row>
    <row r="45" spans="1:10" x14ac:dyDescent="0.25">
      <c r="A45" s="4">
        <v>50</v>
      </c>
      <c r="B45" s="4" t="s">
        <v>93</v>
      </c>
      <c r="C45" s="4">
        <v>1</v>
      </c>
      <c r="D45" s="4" t="s">
        <v>250</v>
      </c>
      <c r="F45" s="7">
        <v>48</v>
      </c>
      <c r="G45" s="8" t="s">
        <v>159</v>
      </c>
    </row>
    <row r="46" spans="1:10" x14ac:dyDescent="0.25">
      <c r="A46" s="3">
        <v>51</v>
      </c>
      <c r="B46" s="3" t="s">
        <v>60</v>
      </c>
      <c r="C46" s="3">
        <v>1</v>
      </c>
      <c r="D46" s="3" t="s">
        <v>250</v>
      </c>
      <c r="F46" s="7">
        <v>49</v>
      </c>
      <c r="G46" s="8" t="s">
        <v>160</v>
      </c>
    </row>
    <row r="47" spans="1:10" x14ac:dyDescent="0.25">
      <c r="A47" s="4">
        <v>52</v>
      </c>
      <c r="B47" s="4" t="s">
        <v>61</v>
      </c>
      <c r="C47" s="4">
        <v>1</v>
      </c>
      <c r="D47" s="4" t="s">
        <v>250</v>
      </c>
      <c r="F47" s="7">
        <v>50</v>
      </c>
      <c r="G47" s="8" t="s">
        <v>161</v>
      </c>
    </row>
    <row r="48" spans="1:10" x14ac:dyDescent="0.25">
      <c r="A48" s="3">
        <v>53</v>
      </c>
      <c r="B48" s="3" t="s">
        <v>62</v>
      </c>
      <c r="C48" s="3">
        <v>-1</v>
      </c>
      <c r="D48" s="3" t="s">
        <v>250</v>
      </c>
      <c r="F48" s="7">
        <v>51</v>
      </c>
      <c r="G48" s="8" t="s">
        <v>162</v>
      </c>
    </row>
    <row r="49" spans="1:7" x14ac:dyDescent="0.25">
      <c r="A49" s="4">
        <v>54</v>
      </c>
      <c r="B49" s="4" t="s">
        <v>63</v>
      </c>
      <c r="C49" s="4">
        <v>1</v>
      </c>
      <c r="D49" s="4" t="s">
        <v>250</v>
      </c>
      <c r="F49" s="7">
        <v>52</v>
      </c>
      <c r="G49" s="8" t="s">
        <v>163</v>
      </c>
    </row>
    <row r="50" spans="1:7" x14ac:dyDescent="0.25">
      <c r="A50" s="3">
        <v>55</v>
      </c>
      <c r="B50" s="3" t="s">
        <v>64</v>
      </c>
      <c r="C50" s="3">
        <v>1</v>
      </c>
      <c r="D50" s="3" t="s">
        <v>250</v>
      </c>
      <c r="F50" s="7">
        <v>53</v>
      </c>
      <c r="G50" s="8" t="s">
        <v>164</v>
      </c>
    </row>
    <row r="51" spans="1:7" x14ac:dyDescent="0.25">
      <c r="A51" s="4">
        <v>56</v>
      </c>
      <c r="B51" s="4" t="s">
        <v>94</v>
      </c>
      <c r="C51" s="4">
        <v>1</v>
      </c>
      <c r="D51" s="4" t="s">
        <v>250</v>
      </c>
      <c r="F51" s="7">
        <v>54</v>
      </c>
      <c r="G51" s="8" t="s">
        <v>165</v>
      </c>
    </row>
    <row r="52" spans="1:7" x14ac:dyDescent="0.25">
      <c r="A52" s="3">
        <v>57</v>
      </c>
      <c r="B52" s="3" t="s">
        <v>95</v>
      </c>
      <c r="C52" s="3">
        <v>1</v>
      </c>
      <c r="D52" s="3" t="s">
        <v>250</v>
      </c>
      <c r="F52" s="7">
        <v>55</v>
      </c>
      <c r="G52" s="8" t="s">
        <v>166</v>
      </c>
    </row>
    <row r="53" spans="1:7" x14ac:dyDescent="0.25">
      <c r="A53" s="4">
        <v>58</v>
      </c>
      <c r="B53" s="4" t="s">
        <v>65</v>
      </c>
      <c r="C53" s="4">
        <v>1</v>
      </c>
      <c r="D53" s="4" t="s">
        <v>250</v>
      </c>
      <c r="F53" s="7">
        <v>56</v>
      </c>
      <c r="G53" s="8" t="s">
        <v>167</v>
      </c>
    </row>
    <row r="54" spans="1:7" x14ac:dyDescent="0.25">
      <c r="A54" s="3">
        <v>59</v>
      </c>
      <c r="B54" s="3" t="s">
        <v>66</v>
      </c>
      <c r="C54" s="3">
        <v>1</v>
      </c>
      <c r="D54" s="3" t="s">
        <v>250</v>
      </c>
      <c r="F54" s="7">
        <v>57</v>
      </c>
      <c r="G54" s="8" t="s">
        <v>168</v>
      </c>
    </row>
    <row r="55" spans="1:7" x14ac:dyDescent="0.25">
      <c r="A55" s="4">
        <v>60</v>
      </c>
      <c r="B55" s="4" t="s">
        <v>67</v>
      </c>
      <c r="C55" s="4">
        <v>1</v>
      </c>
      <c r="D55" s="4" t="s">
        <v>250</v>
      </c>
      <c r="F55" s="7">
        <v>58</v>
      </c>
      <c r="G55" s="8" t="s">
        <v>169</v>
      </c>
    </row>
    <row r="56" spans="1:7" x14ac:dyDescent="0.25">
      <c r="A56" s="3">
        <v>61</v>
      </c>
      <c r="B56" s="3" t="s">
        <v>68</v>
      </c>
      <c r="C56" s="3">
        <v>1</v>
      </c>
      <c r="D56" s="3" t="s">
        <v>252</v>
      </c>
      <c r="F56" s="7">
        <v>59</v>
      </c>
      <c r="G56" s="8" t="s">
        <v>170</v>
      </c>
    </row>
    <row r="57" spans="1:7" x14ac:dyDescent="0.25">
      <c r="A57" s="4">
        <v>63</v>
      </c>
      <c r="B57" s="4" t="s">
        <v>69</v>
      </c>
      <c r="C57" s="4">
        <v>1</v>
      </c>
      <c r="D57" s="4" t="s">
        <v>250</v>
      </c>
      <c r="F57" s="7">
        <v>60</v>
      </c>
      <c r="G57" s="8" t="s">
        <v>171</v>
      </c>
    </row>
    <row r="58" spans="1:7" x14ac:dyDescent="0.25">
      <c r="A58" s="3">
        <v>64</v>
      </c>
      <c r="B58" s="3" t="s">
        <v>70</v>
      </c>
      <c r="C58" s="3">
        <v>1</v>
      </c>
      <c r="D58" s="3" t="s">
        <v>252</v>
      </c>
      <c r="F58" s="7">
        <v>61</v>
      </c>
      <c r="G58" s="8" t="s">
        <v>172</v>
      </c>
    </row>
    <row r="59" spans="1:7" x14ac:dyDescent="0.25">
      <c r="A59" s="4">
        <v>66</v>
      </c>
      <c r="B59" s="4" t="s">
        <v>71</v>
      </c>
      <c r="C59" s="4">
        <v>1</v>
      </c>
      <c r="D59" s="4" t="s">
        <v>250</v>
      </c>
      <c r="F59" s="7">
        <v>62</v>
      </c>
      <c r="G59" s="8" t="s">
        <v>173</v>
      </c>
    </row>
    <row r="60" spans="1:7" x14ac:dyDescent="0.25">
      <c r="A60" s="3">
        <v>70</v>
      </c>
      <c r="B60" s="3" t="s">
        <v>72</v>
      </c>
      <c r="C60" s="3">
        <v>1</v>
      </c>
      <c r="D60" s="3" t="s">
        <v>250</v>
      </c>
      <c r="F60" s="7">
        <v>63</v>
      </c>
      <c r="G60" s="8" t="s">
        <v>174</v>
      </c>
    </row>
    <row r="61" spans="1:7" x14ac:dyDescent="0.25">
      <c r="A61" s="4">
        <v>81</v>
      </c>
      <c r="B61" s="4" t="s">
        <v>96</v>
      </c>
      <c r="C61" s="4">
        <v>1</v>
      </c>
      <c r="D61" s="4" t="s">
        <v>250</v>
      </c>
      <c r="F61" s="9">
        <v>64</v>
      </c>
      <c r="G61" s="10" t="s">
        <v>175</v>
      </c>
    </row>
    <row r="62" spans="1:7" x14ac:dyDescent="0.25">
      <c r="A62" s="3">
        <v>82</v>
      </c>
      <c r="B62" s="3" t="s">
        <v>97</v>
      </c>
      <c r="C62" s="3">
        <v>1</v>
      </c>
      <c r="D62" s="3" t="s">
        <v>252</v>
      </c>
    </row>
    <row r="63" spans="1:7" x14ac:dyDescent="0.25">
      <c r="A63" s="4">
        <v>83</v>
      </c>
      <c r="B63" s="4" t="s">
        <v>73</v>
      </c>
      <c r="C63" s="4">
        <v>1</v>
      </c>
      <c r="D63" s="4" t="s">
        <v>250</v>
      </c>
    </row>
    <row r="64" spans="1:7" x14ac:dyDescent="0.25">
      <c r="A64" s="3">
        <v>90</v>
      </c>
      <c r="B64" s="3" t="s">
        <v>98</v>
      </c>
      <c r="C64" s="3">
        <v>-1</v>
      </c>
      <c r="D64" s="3" t="s">
        <v>250</v>
      </c>
    </row>
    <row r="65" spans="1:4" x14ac:dyDescent="0.25">
      <c r="A65" s="4">
        <v>99</v>
      </c>
      <c r="B65" s="4" t="s">
        <v>99</v>
      </c>
      <c r="C65" s="4">
        <v>1</v>
      </c>
      <c r="D65" s="4" t="s">
        <v>250</v>
      </c>
    </row>
    <row r="66" spans="1:4" x14ac:dyDescent="0.25">
      <c r="A66" s="3">
        <v>110</v>
      </c>
      <c r="B66" s="3" t="s">
        <v>100</v>
      </c>
      <c r="C66" s="3">
        <v>-1</v>
      </c>
      <c r="D66" s="3" t="s">
        <v>250</v>
      </c>
    </row>
    <row r="67" spans="1:4" x14ac:dyDescent="0.25">
      <c r="A67" s="4">
        <v>111</v>
      </c>
      <c r="B67" s="4" t="s">
        <v>74</v>
      </c>
      <c r="C67" s="4">
        <v>1</v>
      </c>
      <c r="D67" s="4" t="s">
        <v>253</v>
      </c>
    </row>
    <row r="68" spans="1:4" x14ac:dyDescent="0.25">
      <c r="A68" s="3">
        <v>112</v>
      </c>
      <c r="B68" s="3" t="s">
        <v>101</v>
      </c>
      <c r="C68" s="3">
        <v>-1</v>
      </c>
      <c r="D68" s="3" t="s">
        <v>250</v>
      </c>
    </row>
    <row r="69" spans="1:4" x14ac:dyDescent="0.25">
      <c r="A69" s="4">
        <v>113</v>
      </c>
      <c r="B69" s="4" t="s">
        <v>75</v>
      </c>
      <c r="C69" s="4">
        <v>-1</v>
      </c>
      <c r="D69" s="4" t="s">
        <v>252</v>
      </c>
    </row>
    <row r="70" spans="1:4" x14ac:dyDescent="0.25">
      <c r="A70" s="3">
        <v>114</v>
      </c>
      <c r="B70" s="3" t="s">
        <v>76</v>
      </c>
      <c r="C70" s="3">
        <v>-1</v>
      </c>
      <c r="D70" s="3" t="s">
        <v>253</v>
      </c>
    </row>
    <row r="71" spans="1:4" x14ac:dyDescent="0.25">
      <c r="A71" s="4">
        <v>115</v>
      </c>
      <c r="B71" s="4" t="s">
        <v>77</v>
      </c>
      <c r="C71" s="4">
        <v>1</v>
      </c>
      <c r="D71" s="4" t="s">
        <v>250</v>
      </c>
    </row>
    <row r="72" spans="1:4" x14ac:dyDescent="0.25">
      <c r="A72" s="3">
        <v>116</v>
      </c>
      <c r="B72" s="3" t="s">
        <v>78</v>
      </c>
      <c r="C72" s="3">
        <v>1</v>
      </c>
      <c r="D72" s="3" t="s">
        <v>252</v>
      </c>
    </row>
    <row r="73" spans="1:4" x14ac:dyDescent="0.25">
      <c r="A73" s="4">
        <v>117</v>
      </c>
      <c r="B73" s="4" t="s">
        <v>79</v>
      </c>
      <c r="C73" s="4">
        <v>1</v>
      </c>
      <c r="D73" s="4" t="s">
        <v>253</v>
      </c>
    </row>
    <row r="74" spans="1:4" x14ac:dyDescent="0.25">
      <c r="A74" s="3">
        <v>118</v>
      </c>
      <c r="B74" s="3" t="s">
        <v>80</v>
      </c>
      <c r="C74" s="3">
        <v>1</v>
      </c>
      <c r="D74" s="3" t="s">
        <v>250</v>
      </c>
    </row>
    <row r="75" spans="1:4" x14ac:dyDescent="0.25">
      <c r="A75" s="4">
        <v>119</v>
      </c>
      <c r="B75" s="4" t="s">
        <v>81</v>
      </c>
      <c r="C75" s="4">
        <v>-1</v>
      </c>
      <c r="D75" s="4" t="s">
        <v>250</v>
      </c>
    </row>
    <row r="76" spans="1:4" x14ac:dyDescent="0.25">
      <c r="A76" s="3">
        <v>120</v>
      </c>
      <c r="B76" s="3" t="s">
        <v>82</v>
      </c>
      <c r="C76" s="3">
        <v>1</v>
      </c>
      <c r="D76" s="3" t="s">
        <v>250</v>
      </c>
    </row>
    <row r="77" spans="1:4" x14ac:dyDescent="0.25">
      <c r="A77" s="4">
        <v>150</v>
      </c>
      <c r="B77" s="4" t="s">
        <v>102</v>
      </c>
      <c r="C77" s="4">
        <v>1</v>
      </c>
      <c r="D77" s="4" t="s">
        <v>250</v>
      </c>
    </row>
    <row r="78" spans="1:4" x14ac:dyDescent="0.25">
      <c r="A78" s="3">
        <v>151</v>
      </c>
      <c r="B78" s="3" t="s">
        <v>103</v>
      </c>
      <c r="C78" s="3">
        <v>1</v>
      </c>
      <c r="D78" s="3" t="s">
        <v>252</v>
      </c>
    </row>
    <row r="79" spans="1:4" x14ac:dyDescent="0.25">
      <c r="A79" s="4">
        <v>180</v>
      </c>
      <c r="B79" s="4" t="s">
        <v>104</v>
      </c>
      <c r="C79" s="4">
        <v>1</v>
      </c>
      <c r="D79" s="4" t="s">
        <v>250</v>
      </c>
    </row>
    <row r="80" spans="1:4" x14ac:dyDescent="0.25">
      <c r="A80" s="3">
        <v>182</v>
      </c>
      <c r="B80" s="3" t="s">
        <v>105</v>
      </c>
      <c r="C80" s="3">
        <v>1</v>
      </c>
      <c r="D80" s="3" t="s">
        <v>252</v>
      </c>
    </row>
    <row r="81" spans="1:4" x14ac:dyDescent="0.25">
      <c r="A81" s="4">
        <v>183</v>
      </c>
      <c r="B81" s="4" t="s">
        <v>106</v>
      </c>
      <c r="C81" s="4">
        <v>1</v>
      </c>
      <c r="D81" s="4" t="s">
        <v>250</v>
      </c>
    </row>
    <row r="82" spans="1:4" x14ac:dyDescent="0.25">
      <c r="A82" s="3">
        <v>185</v>
      </c>
      <c r="B82" s="3" t="s">
        <v>107</v>
      </c>
      <c r="C82" s="3">
        <v>1</v>
      </c>
      <c r="D82" s="3" t="s">
        <v>252</v>
      </c>
    </row>
    <row r="83" spans="1:4" x14ac:dyDescent="0.25">
      <c r="A83" s="4">
        <v>186</v>
      </c>
      <c r="B83" s="4" t="s">
        <v>108</v>
      </c>
      <c r="C83" s="4">
        <v>1</v>
      </c>
      <c r="D83" s="4" t="s">
        <v>250</v>
      </c>
    </row>
    <row r="84" spans="1:4" x14ac:dyDescent="0.25">
      <c r="A84" s="3">
        <v>188</v>
      </c>
      <c r="B84" s="3" t="s">
        <v>109</v>
      </c>
      <c r="C84" s="3">
        <v>1</v>
      </c>
      <c r="D84" s="3" t="s">
        <v>252</v>
      </c>
    </row>
    <row r="85" spans="1:4" x14ac:dyDescent="0.25">
      <c r="A85" s="4">
        <v>190</v>
      </c>
      <c r="B85" s="4" t="s">
        <v>110</v>
      </c>
      <c r="C85" s="4">
        <v>1</v>
      </c>
      <c r="D85" s="4" t="s">
        <v>250</v>
      </c>
    </row>
    <row r="86" spans="1:4" x14ac:dyDescent="0.25">
      <c r="A86" s="3">
        <v>195</v>
      </c>
      <c r="B86" s="3" t="s">
        <v>111</v>
      </c>
      <c r="C86" s="3">
        <v>1</v>
      </c>
      <c r="D86" s="3" t="s">
        <v>254</v>
      </c>
    </row>
    <row r="87" spans="1:4" x14ac:dyDescent="0.25">
      <c r="A87" s="4">
        <v>196</v>
      </c>
      <c r="B87" s="4" t="s">
        <v>112</v>
      </c>
      <c r="C87" s="4">
        <v>1</v>
      </c>
      <c r="D87" s="4" t="s">
        <v>254</v>
      </c>
    </row>
    <row r="88" spans="1:4" x14ac:dyDescent="0.25">
      <c r="A88" s="3">
        <v>197</v>
      </c>
      <c r="B88" s="3" t="s">
        <v>113</v>
      </c>
      <c r="C88" s="3">
        <v>-1</v>
      </c>
      <c r="D88" s="3" t="s">
        <v>254</v>
      </c>
    </row>
    <row r="89" spans="1:4" x14ac:dyDescent="0.25">
      <c r="A89" s="4">
        <v>331</v>
      </c>
      <c r="B89" s="4" t="s">
        <v>83</v>
      </c>
      <c r="C89" s="4">
        <v>1</v>
      </c>
      <c r="D89" s="4" t="s">
        <v>84</v>
      </c>
    </row>
    <row r="90" spans="1:4" x14ac:dyDescent="0.25">
      <c r="A90" s="3">
        <v>332</v>
      </c>
      <c r="B90" s="3" t="s">
        <v>114</v>
      </c>
      <c r="C90" s="3">
        <v>1</v>
      </c>
      <c r="D90" s="3" t="s">
        <v>84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Principal</vt:lpstr>
      <vt:lpstr>Compras</vt:lpstr>
      <vt:lpstr>Ventas</vt:lpstr>
      <vt:lpstr>Tabla Comprobantes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</dc:creator>
  <cp:lastModifiedBy>SEC</cp:lastModifiedBy>
  <cp:lastPrinted>2021-04-27T15:17:14Z</cp:lastPrinted>
  <dcterms:created xsi:type="dcterms:W3CDTF">2021-04-26T12:16:23Z</dcterms:created>
  <dcterms:modified xsi:type="dcterms:W3CDTF">2021-04-29T16:58:03Z</dcterms:modified>
</cp:coreProperties>
</file>